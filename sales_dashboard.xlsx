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Uk Retail Sales Data Analysis using Excel\"/>
    </mc:Choice>
  </mc:AlternateContent>
  <xr:revisionPtr revIDLastSave="0" documentId="8_{5466B473-32C3-4C83-BBD4-E8F0E7B975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Student Data" sheetId="2" r:id="rId2"/>
    <sheet name="Analysis" sheetId="3" r:id="rId3"/>
    <sheet name="Charts" sheetId="4" r:id="rId4"/>
  </sheets>
  <definedNames>
    <definedName name="_xlnm._FilterDatabase" localSheetId="1" hidden="1">'Student Data'!$A$1:$N$21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J9" i="3"/>
  <c r="L9" i="3" s="1"/>
  <c r="F9" i="3"/>
  <c r="E9" i="3"/>
  <c r="D9" i="3"/>
  <c r="C9" i="3"/>
  <c r="B9" i="3"/>
  <c r="E8" i="3"/>
  <c r="F8" i="3" s="1"/>
  <c r="D8" i="3"/>
  <c r="C8" i="3"/>
  <c r="B8" i="3"/>
  <c r="F7" i="3"/>
  <c r="E7" i="3"/>
  <c r="D7" i="3"/>
  <c r="C7" i="3"/>
  <c r="B7" i="3"/>
  <c r="J6" i="3"/>
  <c r="K6" i="3" s="1"/>
  <c r="F6" i="3"/>
  <c r="E6" i="3"/>
  <c r="D6" i="3"/>
  <c r="C6" i="3"/>
  <c r="B6" i="3"/>
  <c r="E5" i="3"/>
  <c r="F5" i="3" s="1"/>
  <c r="D5" i="3"/>
  <c r="C5" i="3"/>
  <c r="B5" i="3"/>
  <c r="B20" i="3" s="1"/>
  <c r="M21" i="2"/>
  <c r="K21" i="2"/>
  <c r="L21" i="2" s="1"/>
  <c r="J21" i="2"/>
  <c r="I21" i="2"/>
  <c r="M20" i="2"/>
  <c r="K20" i="2"/>
  <c r="L20" i="2" s="1"/>
  <c r="J20" i="2"/>
  <c r="I20" i="2"/>
  <c r="N20" i="2" s="1"/>
  <c r="N19" i="2"/>
  <c r="M19" i="2"/>
  <c r="K19" i="2"/>
  <c r="L19" i="2" s="1"/>
  <c r="J19" i="2"/>
  <c r="I19" i="2"/>
  <c r="M18" i="2"/>
  <c r="K18" i="2"/>
  <c r="L18" i="2" s="1"/>
  <c r="J18" i="2"/>
  <c r="I18" i="2"/>
  <c r="N18" i="2" s="1"/>
  <c r="N17" i="2"/>
  <c r="M17" i="2"/>
  <c r="K17" i="2"/>
  <c r="L17" i="2" s="1"/>
  <c r="J17" i="2"/>
  <c r="I17" i="2"/>
  <c r="M16" i="2"/>
  <c r="K16" i="2"/>
  <c r="L16" i="2" s="1"/>
  <c r="J16" i="2"/>
  <c r="I16" i="2"/>
  <c r="N16" i="2" s="1"/>
  <c r="N15" i="2"/>
  <c r="M15" i="2"/>
  <c r="K15" i="2"/>
  <c r="L15" i="2" s="1"/>
  <c r="J15" i="2"/>
  <c r="I15" i="2"/>
  <c r="M14" i="2"/>
  <c r="K14" i="2"/>
  <c r="L14" i="2" s="1"/>
  <c r="J14" i="2"/>
  <c r="I14" i="2"/>
  <c r="N14" i="2" s="1"/>
  <c r="N13" i="2"/>
  <c r="M13" i="2"/>
  <c r="K13" i="2"/>
  <c r="L13" i="2" s="1"/>
  <c r="J13" i="2"/>
  <c r="I13" i="2"/>
  <c r="M12" i="2"/>
  <c r="K12" i="2"/>
  <c r="L12" i="2" s="1"/>
  <c r="J12" i="2"/>
  <c r="I12" i="2"/>
  <c r="N12" i="2" s="1"/>
  <c r="N11" i="2"/>
  <c r="M11" i="2"/>
  <c r="K11" i="2"/>
  <c r="L11" i="2" s="1"/>
  <c r="J11" i="2"/>
  <c r="I11" i="2"/>
  <c r="M10" i="2"/>
  <c r="K10" i="2"/>
  <c r="L10" i="2" s="1"/>
  <c r="J10" i="2"/>
  <c r="I10" i="2"/>
  <c r="N10" i="2" s="1"/>
  <c r="N9" i="2"/>
  <c r="M9" i="2"/>
  <c r="K9" i="2"/>
  <c r="L9" i="2" s="1"/>
  <c r="J9" i="2"/>
  <c r="I9" i="2"/>
  <c r="M8" i="2"/>
  <c r="K8" i="2"/>
  <c r="L8" i="2" s="1"/>
  <c r="J8" i="2"/>
  <c r="I8" i="2"/>
  <c r="N8" i="2" s="1"/>
  <c r="N7" i="2"/>
  <c r="M7" i="2"/>
  <c r="K7" i="2"/>
  <c r="L7" i="2" s="1"/>
  <c r="J7" i="2"/>
  <c r="I7" i="2"/>
  <c r="M6" i="2"/>
  <c r="K6" i="2"/>
  <c r="L6" i="2" s="1"/>
  <c r="J6" i="2"/>
  <c r="I6" i="2"/>
  <c r="N6" i="2" s="1"/>
  <c r="N5" i="2"/>
  <c r="M5" i="2"/>
  <c r="K5" i="2"/>
  <c r="L5" i="2" s="1"/>
  <c r="J5" i="2"/>
  <c r="I5" i="2"/>
  <c r="M4" i="2"/>
  <c r="K4" i="2"/>
  <c r="L4" i="2" s="1"/>
  <c r="J4" i="2"/>
  <c r="I4" i="2"/>
  <c r="N4" i="2" s="1"/>
  <c r="N3" i="2"/>
  <c r="M3" i="2"/>
  <c r="K3" i="2"/>
  <c r="L3" i="2" s="1"/>
  <c r="J3" i="2"/>
  <c r="I3" i="2"/>
  <c r="M2" i="2"/>
  <c r="B18" i="3" s="1"/>
  <c r="K2" i="2"/>
  <c r="J11" i="3" s="1"/>
  <c r="J2" i="2"/>
  <c r="B15" i="3" s="1"/>
  <c r="I2" i="2"/>
  <c r="N21" i="2" s="1"/>
  <c r="L21" i="1"/>
  <c r="N16" i="1"/>
  <c r="M16" i="1"/>
  <c r="L16" i="1"/>
  <c r="K16" i="1"/>
  <c r="J16" i="1"/>
  <c r="N15" i="1"/>
  <c r="M15" i="1"/>
  <c r="L15" i="1"/>
  <c r="K15" i="1"/>
  <c r="J15" i="1"/>
  <c r="N14" i="1"/>
  <c r="M14" i="1"/>
  <c r="L14" i="1"/>
  <c r="K14" i="1"/>
  <c r="J14" i="1"/>
  <c r="N13" i="1"/>
  <c r="M13" i="1"/>
  <c r="L13" i="1"/>
  <c r="K13" i="1"/>
  <c r="J13" i="1"/>
  <c r="N12" i="1"/>
  <c r="M12" i="1"/>
  <c r="L12" i="1"/>
  <c r="K12" i="1"/>
  <c r="J12" i="1"/>
  <c r="J7" i="1"/>
  <c r="G7" i="1"/>
  <c r="D7" i="1"/>
  <c r="A7" i="1"/>
  <c r="L11" i="3" l="1"/>
  <c r="K11" i="3"/>
  <c r="K9" i="3"/>
  <c r="L2" i="2"/>
  <c r="J8" i="3"/>
  <c r="C10" i="3"/>
  <c r="B13" i="3"/>
  <c r="D10" i="3"/>
  <c r="B14" i="3"/>
  <c r="L6" i="3"/>
  <c r="B10" i="3"/>
  <c r="N2" i="2"/>
  <c r="J5" i="3"/>
  <c r="E10" i="3"/>
  <c r="F10" i="3" s="1"/>
  <c r="B16" i="3"/>
  <c r="L19" i="1"/>
  <c r="J7" i="3"/>
  <c r="J10" i="3"/>
  <c r="B17" i="3"/>
  <c r="L20" i="1"/>
  <c r="D16" i="1" l="1"/>
  <c r="C15" i="1"/>
  <c r="B14" i="1"/>
  <c r="B16" i="1"/>
  <c r="F15" i="1"/>
  <c r="D13" i="1"/>
  <c r="C12" i="1"/>
  <c r="F16" i="1"/>
  <c r="B12" i="1"/>
  <c r="D12" i="1"/>
  <c r="C13" i="1"/>
  <c r="E16" i="1"/>
  <c r="B13" i="1"/>
  <c r="C16" i="1"/>
  <c r="C14" i="1"/>
  <c r="G12" i="1"/>
  <c r="F13" i="1"/>
  <c r="F14" i="1"/>
  <c r="E13" i="1"/>
  <c r="G16" i="1"/>
  <c r="D14" i="1"/>
  <c r="B15" i="1"/>
  <c r="G13" i="1"/>
  <c r="F12" i="1"/>
  <c r="G14" i="1"/>
  <c r="E12" i="1"/>
  <c r="G15" i="1"/>
  <c r="E14" i="1"/>
  <c r="E15" i="1"/>
  <c r="D15" i="1"/>
  <c r="L8" i="3"/>
  <c r="K8" i="3"/>
  <c r="L10" i="3"/>
  <c r="K10" i="3"/>
  <c r="L7" i="3"/>
  <c r="K7" i="3"/>
  <c r="L5" i="3"/>
  <c r="K5" i="3"/>
  <c r="J12" i="3"/>
  <c r="K12" i="3" l="1"/>
</calcChain>
</file>

<file path=xl/sharedStrings.xml><?xml version="1.0" encoding="utf-8"?>
<sst xmlns="http://schemas.openxmlformats.org/spreadsheetml/2006/main" count="137" uniqueCount="113">
  <si>
    <t>🎓  STUDENT GRADE DASHBOARD</t>
  </si>
  <si>
    <t>Class X-A  |  20 Students  |  5 Subjects  |  Max: 500 Marks  |  AY 2024</t>
  </si>
  <si>
    <t>👨‍🎓</t>
  </si>
  <si>
    <t>📊</t>
  </si>
  <si>
    <t>🏆</t>
  </si>
  <si>
    <t>✅</t>
  </si>
  <si>
    <t>TOTAL STUDENTS</t>
  </si>
  <si>
    <t>CLASS AVERAGE</t>
  </si>
  <si>
    <t>TOP SCORE</t>
  </si>
  <si>
    <t>PASS %</t>
  </si>
  <si>
    <t>🏅 Top 5 Students by Total Marks</t>
  </si>
  <si>
    <t>📚 Subject-wise Averages</t>
  </si>
  <si>
    <t>Rank</t>
  </si>
  <si>
    <t>Student Name</t>
  </si>
  <si>
    <t>Total</t>
  </si>
  <si>
    <t>Avg</t>
  </si>
  <si>
    <t>Grade</t>
  </si>
  <si>
    <t>Result</t>
  </si>
  <si>
    <t>% Score</t>
  </si>
  <si>
    <t>Subject</t>
  </si>
  <si>
    <t>Highest</t>
  </si>
  <si>
    <t>Lowest</t>
  </si>
  <si>
    <t>Pass%</t>
  </si>
  <si>
    <t>Status</t>
  </si>
  <si>
    <t>🥇</t>
  </si>
  <si>
    <t>Tamil</t>
  </si>
  <si>
    <t>🥈</t>
  </si>
  <si>
    <t>English</t>
  </si>
  <si>
    <t>🥉</t>
  </si>
  <si>
    <t>Maths</t>
  </si>
  <si>
    <t>4️⃣</t>
  </si>
  <si>
    <t>Science</t>
  </si>
  <si>
    <t>5️⃣</t>
  </si>
  <si>
    <t>Social Science</t>
  </si>
  <si>
    <t>Pass / Fail Summary</t>
  </si>
  <si>
    <t>✅ Passed</t>
  </si>
  <si>
    <t>❌ Failed</t>
  </si>
  <si>
    <t>Pass %</t>
  </si>
  <si>
    <t>S.No</t>
  </si>
  <si>
    <t>Roll No</t>
  </si>
  <si>
    <t>Average</t>
  </si>
  <si>
    <t>Percentage (%)</t>
  </si>
  <si>
    <t>Arun Kumar</t>
  </si>
  <si>
    <t>2024001</t>
  </si>
  <si>
    <t>Priya Devi</t>
  </si>
  <si>
    <t>2024002</t>
  </si>
  <si>
    <t>Karthik Raja</t>
  </si>
  <si>
    <t>2024003</t>
  </si>
  <si>
    <t>Meena Lakshmi</t>
  </si>
  <si>
    <t>2024004</t>
  </si>
  <si>
    <t>Suresh Babu</t>
  </si>
  <si>
    <t>2024005</t>
  </si>
  <si>
    <t>Divya Shree</t>
  </si>
  <si>
    <t>2024006</t>
  </si>
  <si>
    <t>Vijay Anand</t>
  </si>
  <si>
    <t>2024007</t>
  </si>
  <si>
    <t>Nithya Sree</t>
  </si>
  <si>
    <t>2024008</t>
  </si>
  <si>
    <t>Murugan S</t>
  </si>
  <si>
    <t>2024009</t>
  </si>
  <si>
    <t>Kavitha R</t>
  </si>
  <si>
    <t>2024010</t>
  </si>
  <si>
    <t>Ramesh T</t>
  </si>
  <si>
    <t>2024011</t>
  </si>
  <si>
    <t>Anitha P</t>
  </si>
  <si>
    <t>2024012</t>
  </si>
  <si>
    <t>Senthil K</t>
  </si>
  <si>
    <t>2024013</t>
  </si>
  <si>
    <t>Bharathi M</t>
  </si>
  <si>
    <t>2024014</t>
  </si>
  <si>
    <t>Gopal V</t>
  </si>
  <si>
    <t>2024015</t>
  </si>
  <si>
    <t>Saranya D</t>
  </si>
  <si>
    <t>2024016</t>
  </si>
  <si>
    <t>Manoj S</t>
  </si>
  <si>
    <t>2024017</t>
  </si>
  <si>
    <t>Rekha N</t>
  </si>
  <si>
    <t>2024018</t>
  </si>
  <si>
    <t>Deepak A</t>
  </si>
  <si>
    <t>2024019</t>
  </si>
  <si>
    <t>Lavanya C</t>
  </si>
  <si>
    <t>2024020</t>
  </si>
  <si>
    <t>📊  STUDENT PERFORMANCE ANALYSIS</t>
  </si>
  <si>
    <t>A. Subject-wise Statistics</t>
  </si>
  <si>
    <t>B. Grade Distribution</t>
  </si>
  <si>
    <t>Pass Count</t>
  </si>
  <si>
    <t>Range</t>
  </si>
  <si>
    <t>Count</t>
  </si>
  <si>
    <t>% Share</t>
  </si>
  <si>
    <t>Visual Bar</t>
  </si>
  <si>
    <t>A+</t>
  </si>
  <si>
    <t>90-100</t>
  </si>
  <si>
    <t>A</t>
  </si>
  <si>
    <t>80-89</t>
  </si>
  <si>
    <t>B+</t>
  </si>
  <si>
    <t>70-79</t>
  </si>
  <si>
    <t>B</t>
  </si>
  <si>
    <t>60-69</t>
  </si>
  <si>
    <t>C</t>
  </si>
  <si>
    <t>50-59</t>
  </si>
  <si>
    <t>Class Overall</t>
  </si>
  <si>
    <t>D</t>
  </si>
  <si>
    <t>35-49</t>
  </si>
  <si>
    <t>F</t>
  </si>
  <si>
    <t>&lt;35</t>
  </si>
  <si>
    <t>C. Key Insights &amp; Formulas Used</t>
  </si>
  <si>
    <t>TOTAL</t>
  </si>
  <si>
    <t>Top Scorer</t>
  </si>
  <si>
    <t>Lowest Scorer</t>
  </si>
  <si>
    <t>Class Average</t>
  </si>
  <si>
    <t>Fail Count</t>
  </si>
  <si>
    <t>Maths Avg</t>
  </si>
  <si>
    <t>Best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</si>
</sst>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b/>
      <sz val="10"/>
      <color rgb="FF1A3C6E"/>
      <name val="Arial"/>
    </font>
    <font>
      <sz val="10"/>
      <color rgb="FF000000"/>
      <name val="Arial"/>
    </font>
    <font>
      <b/>
      <sz val="11"/>
      <color rgb="FF1B5E20"/>
      <name val="Arial"/>
    </font>
    <font>
      <sz val="10"/>
      <color rgb="FF1B5E20"/>
      <name val="Arial"/>
    </font>
    <font>
      <b/>
      <sz val="11"/>
      <color rgb="FF2E7D32"/>
      <name val="Arial"/>
    </font>
    <font>
      <sz val="10"/>
      <color rgb="FF2E7D32"/>
      <name val="Arial"/>
    </font>
    <font>
      <b/>
      <sz val="11"/>
      <color rgb="FF1565C0"/>
      <name val="Arial"/>
    </font>
    <font>
      <sz val="10"/>
      <color rgb="FF1565C0"/>
      <name val="Arial"/>
    </font>
    <font>
      <b/>
      <sz val="11"/>
      <color rgb="FF0D47A1"/>
      <name val="Arial"/>
    </font>
    <font>
      <sz val="10"/>
      <color rgb="FF0D47A1"/>
      <name val="Arial"/>
    </font>
    <font>
      <b/>
      <sz val="11"/>
      <color rgb="FFE65100"/>
      <name val="Arial"/>
    </font>
    <font>
      <sz val="10"/>
      <color rgb="FFE65100"/>
      <name val="Arial"/>
    </font>
    <font>
      <b/>
      <sz val="11"/>
      <color rgb="FFBF360C"/>
      <name val="Arial"/>
    </font>
    <font>
      <sz val="10"/>
      <color rgb="FFBF360C"/>
      <name val="Arial"/>
    </font>
    <font>
      <b/>
      <sz val="11"/>
      <color rgb="FFB71C1C"/>
      <name val="Arial"/>
    </font>
    <font>
      <sz val="10"/>
      <color rgb="FFB71C1C"/>
      <name val="Arial"/>
    </font>
    <font>
      <i/>
      <sz val="9"/>
      <color rgb="FF333333"/>
      <name val="Arial"/>
    </font>
    <font>
      <b/>
      <sz val="18"/>
      <color rgb="FFFFFFFF"/>
      <name val="Arial"/>
    </font>
    <font>
      <i/>
      <sz val="10"/>
      <color rgb="FF5D6D7E"/>
      <name val="Arial"/>
    </font>
    <font>
      <sz val="22"/>
      <color rgb="FF000000"/>
      <name val="Arial"/>
    </font>
    <font>
      <b/>
      <sz val="9"/>
      <color rgb="FF6B7280"/>
      <name val="Arial"/>
    </font>
    <font>
      <b/>
      <sz val="14"/>
      <color rgb="FF1A3C6E"/>
      <name val="Arial"/>
    </font>
    <font>
      <sz val="8"/>
      <color rgb="FF000000"/>
      <name val="Arial"/>
    </font>
    <font>
      <b/>
      <sz val="14"/>
      <color rgb="FF2E7D32"/>
      <name val="Arial"/>
    </font>
    <font>
      <b/>
      <sz val="14"/>
      <color rgb="FF1565C0"/>
      <name val="Arial"/>
    </font>
    <font>
      <sz val="12"/>
      <name val="Arial"/>
    </font>
    <font>
      <b/>
      <sz val="10"/>
      <color rgb="FF000000"/>
      <name val="Arial"/>
    </font>
    <font>
      <b/>
      <sz val="10"/>
      <color rgb="FF1B5E20"/>
      <name val="Arial"/>
    </font>
    <font>
      <b/>
      <sz val="10"/>
      <color rgb="FF2E7D32"/>
      <name val="Arial"/>
    </font>
    <font>
      <sz val="10"/>
      <color rgb="FFC62828"/>
      <name val="Arial"/>
    </font>
    <font>
      <b/>
      <sz val="11"/>
      <color rgb="FFC62828"/>
      <name val="Arial"/>
    </font>
    <font>
      <b/>
      <sz val="14"/>
      <color rgb="FFC62828"/>
      <name val="Arial"/>
    </font>
  </fonts>
  <fills count="20">
    <fill>
      <patternFill patternType="none"/>
    </fill>
    <fill>
      <patternFill patternType="gray125"/>
    </fill>
    <fill>
      <patternFill patternType="solid">
        <fgColor rgb="FF1A3C6E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2C5F8A"/>
      </patternFill>
    </fill>
    <fill>
      <patternFill patternType="solid">
        <fgColor rgb="FF3A7CB8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F9FBFF"/>
      </patternFill>
    </fill>
    <fill>
      <patternFill patternType="solid">
        <fgColor rgb="FFEBF5FB"/>
      </patternFill>
    </fill>
    <fill>
      <patternFill patternType="solid">
        <fgColor rgb="FFF0F4FF"/>
      </patternFill>
    </fill>
    <fill>
      <patternFill patternType="solid">
        <fgColor rgb="FFFFF9C4"/>
      </patternFill>
    </fill>
    <fill>
      <patternFill patternType="solid">
        <fgColor rgb="FFF5F5F5"/>
      </patternFill>
    </fill>
    <fill>
      <patternFill patternType="solid">
        <fgColor rgb="FFFFDDD5"/>
      </patternFill>
    </fill>
    <fill>
      <patternFill patternType="solid">
        <fgColor rgb="FFF1F8E9"/>
      </patternFill>
    </fill>
    <fill>
      <patternFill patternType="solid">
        <fgColor rgb="FFFFEBEE"/>
      </patternFill>
    </fill>
  </fills>
  <borders count="2">
    <border>
      <left/>
      <right/>
      <top/>
      <bottom/>
      <diagonal/>
    </border>
    <border>
      <left style="thin">
        <color rgb="FFC9D6EA"/>
      </left>
      <right style="thin">
        <color rgb="FFC9D6EA"/>
      </right>
      <top style="thin">
        <color rgb="FFC9D6EA"/>
      </top>
      <bottom style="thin">
        <color rgb="FFC9D6EA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6" fillId="6" borderId="1" xfId="0" applyFont="1" applyFill="1" applyBorder="1" applyAlignment="1">
      <alignment horizontal="center" vertical="center"/>
    </xf>
    <xf numFmtId="0" fontId="32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center"/>
    </xf>
    <xf numFmtId="1" fontId="33" fillId="15" borderId="1" xfId="0" applyNumberFormat="1" applyFont="1" applyFill="1" applyBorder="1" applyAlignment="1">
      <alignment horizontal="center" vertical="center"/>
    </xf>
    <xf numFmtId="2" fontId="8" fillId="15" borderId="1" xfId="0" applyNumberFormat="1" applyFont="1" applyFill="1" applyBorder="1" applyAlignment="1">
      <alignment horizontal="center" vertical="center"/>
    </xf>
    <xf numFmtId="0" fontId="34" fillId="15" borderId="1" xfId="0" applyFont="1" applyFill="1" applyBorder="1" applyAlignment="1">
      <alignment horizontal="center" vertical="center"/>
    </xf>
    <xf numFmtId="0" fontId="35" fillId="1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2" fontId="8" fillId="7" borderId="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36" fillId="7" borderId="1" xfId="0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32" fillId="16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left" vertical="center"/>
    </xf>
    <xf numFmtId="1" fontId="33" fillId="16" borderId="1" xfId="0" applyNumberFormat="1" applyFont="1" applyFill="1" applyBorder="1" applyAlignment="1">
      <alignment horizontal="center" vertical="center"/>
    </xf>
    <xf numFmtId="2" fontId="8" fillId="16" borderId="1" xfId="0" applyNumberFormat="1" applyFont="1" applyFill="1" applyBorder="1" applyAlignment="1">
      <alignment horizontal="center" vertical="center"/>
    </xf>
    <xf numFmtId="0" fontId="34" fillId="16" borderId="1" xfId="0" applyFont="1" applyFill="1" applyBorder="1" applyAlignment="1">
      <alignment horizontal="center" vertical="center"/>
    </xf>
    <xf numFmtId="0" fontId="35" fillId="16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2" fontId="8" fillId="8" borderId="1" xfId="0" applyNumberFormat="1" applyFont="1" applyFill="1" applyBorder="1" applyAlignment="1">
      <alignment horizontal="center" vertical="center"/>
    </xf>
    <xf numFmtId="1" fontId="12" fillId="8" borderId="1" xfId="0" applyNumberFormat="1" applyFont="1" applyFill="1" applyBorder="1" applyAlignment="1">
      <alignment horizontal="center" vertical="center"/>
    </xf>
    <xf numFmtId="1" fontId="36" fillId="8" borderId="1" xfId="0" applyNumberFormat="1" applyFont="1" applyFill="1" applyBorder="1" applyAlignment="1">
      <alignment horizontal="center" vertical="center"/>
    </xf>
    <xf numFmtId="164" fontId="8" fillId="8" borderId="1" xfId="0" applyNumberFormat="1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0" fontId="32" fillId="1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left" vertical="center"/>
    </xf>
    <xf numFmtId="1" fontId="33" fillId="17" borderId="1" xfId="0" applyNumberFormat="1" applyFont="1" applyFill="1" applyBorder="1" applyAlignment="1">
      <alignment horizontal="center" vertical="center"/>
    </xf>
    <xf numFmtId="2" fontId="8" fillId="17" borderId="1" xfId="0" applyNumberFormat="1" applyFont="1" applyFill="1" applyBorder="1" applyAlignment="1">
      <alignment horizontal="center" vertical="center"/>
    </xf>
    <xf numFmtId="0" fontId="34" fillId="17" borderId="1" xfId="0" applyFont="1" applyFill="1" applyBorder="1" applyAlignment="1">
      <alignment horizontal="center" vertical="center"/>
    </xf>
    <xf numFmtId="0" fontId="35" fillId="1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2" fontId="8" fillId="9" borderId="1" xfId="0" applyNumberFormat="1" applyFont="1" applyFill="1" applyBorder="1" applyAlignment="1">
      <alignment horizontal="center" vertical="center"/>
    </xf>
    <xf numFmtId="1" fontId="12" fillId="9" borderId="1" xfId="0" applyNumberFormat="1" applyFont="1" applyFill="1" applyBorder="1" applyAlignment="1">
      <alignment horizontal="center" vertical="center"/>
    </xf>
    <xf numFmtId="1" fontId="36" fillId="9" borderId="1" xfId="0" applyNumberFormat="1" applyFont="1" applyFill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" fontId="33" fillId="4" borderId="1" xfId="0" applyNumberFormat="1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2" fontId="8" fillId="10" borderId="1" xfId="0" applyNumberFormat="1" applyFont="1" applyFill="1" applyBorder="1" applyAlignment="1">
      <alignment horizontal="center" vertical="center"/>
    </xf>
    <xf numFmtId="1" fontId="12" fillId="10" borderId="1" xfId="0" applyNumberFormat="1" applyFont="1" applyFill="1" applyBorder="1" applyAlignment="1">
      <alignment horizontal="center" vertical="center"/>
    </xf>
    <xf numFmtId="1" fontId="36" fillId="10" borderId="1" xfId="0" applyNumberFormat="1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0" fontId="33" fillId="10" borderId="1" xfId="0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left" vertical="center"/>
    </xf>
    <xf numFmtId="1" fontId="33" fillId="18" borderId="1" xfId="0" applyNumberFormat="1" applyFont="1" applyFill="1" applyBorder="1" applyAlignment="1">
      <alignment horizontal="center" vertical="center"/>
    </xf>
    <xf numFmtId="2" fontId="8" fillId="18" borderId="1" xfId="0" applyNumberFormat="1" applyFont="1" applyFill="1" applyBorder="1" applyAlignment="1">
      <alignment horizontal="center" vertical="center"/>
    </xf>
    <xf numFmtId="0" fontId="34" fillId="18" borderId="1" xfId="0" applyFont="1" applyFill="1" applyBorder="1" applyAlignment="1">
      <alignment horizontal="center" vertical="center"/>
    </xf>
    <xf numFmtId="0" fontId="35" fillId="18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/>
    </xf>
    <xf numFmtId="2" fontId="8" fillId="11" borderId="1" xfId="0" applyNumberFormat="1" applyFont="1" applyFill="1" applyBorder="1" applyAlignment="1">
      <alignment horizontal="center" vertical="center"/>
    </xf>
    <xf numFmtId="1" fontId="12" fillId="11" borderId="1" xfId="0" applyNumberFormat="1" applyFont="1" applyFill="1" applyBorder="1" applyAlignment="1">
      <alignment horizontal="center" vertical="center"/>
    </xf>
    <xf numFmtId="1" fontId="36" fillId="11" borderId="1" xfId="0" applyNumberFormat="1" applyFont="1" applyFill="1" applyBorder="1" applyAlignment="1">
      <alignment horizontal="center" vertical="center"/>
    </xf>
    <xf numFmtId="164" fontId="8" fillId="11" borderId="1" xfId="0" applyNumberFormat="1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" fontId="3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1" fontId="3" fillId="12" borderId="1" xfId="0" applyNumberFormat="1" applyFont="1" applyFill="1" applyBorder="1" applyAlignment="1">
      <alignment horizontal="center" vertical="center"/>
    </xf>
    <xf numFmtId="164" fontId="2" fillId="12" borderId="1" xfId="0" applyNumberFormat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/>
    </xf>
    <xf numFmtId="1" fontId="8" fillId="8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1" fontId="8" fillId="9" borderId="1" xfId="0" applyNumberFormat="1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left" vertical="center"/>
    </xf>
    <xf numFmtId="1" fontId="8" fillId="10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/>
    </xf>
    <xf numFmtId="1" fontId="8" fillId="11" borderId="1" xfId="0" applyNumberFormat="1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0" fontId="21" fillId="12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27" fillId="14" borderId="1" xfId="0" applyFont="1" applyFill="1" applyBorder="1" applyAlignment="1">
      <alignment horizontal="center" vertical="center"/>
    </xf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2" fontId="30" fillId="14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38" fillId="19" borderId="1" xfId="0" applyFont="1" applyFill="1" applyBorder="1" applyAlignment="1">
      <alignment horizontal="center" vertical="center"/>
    </xf>
    <xf numFmtId="164" fontId="30" fillId="14" borderId="1" xfId="0" applyNumberFormat="1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center" vertical="center"/>
    </xf>
    <xf numFmtId="0" fontId="37" fillId="19" borderId="1" xfId="0" applyFont="1" applyFill="1" applyBorder="1" applyAlignment="1">
      <alignment horizontal="center" vertical="center"/>
    </xf>
    <xf numFmtId="164" fontId="31" fillId="7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25" fillId="13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30" fillId="8" borderId="1" xfId="0" applyFont="1" applyFill="1" applyBorder="1" applyAlignment="1">
      <alignment horizontal="center" vertical="center"/>
    </xf>
    <xf numFmtId="1" fontId="28" fillId="14" borderId="1" xfId="0" applyNumberFormat="1" applyFont="1" applyFill="1" applyBorder="1" applyAlignment="1">
      <alignment horizontal="center" vertical="center"/>
    </xf>
    <xf numFmtId="1" fontId="31" fillId="14" borderId="1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left" vertical="center" wrapText="1"/>
    </xf>
    <xf numFmtId="2" fontId="23" fillId="4" borderId="1" xfId="0" applyNumberFormat="1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23" fillId="4" borderId="1" xfId="0" applyFont="1" applyFill="1" applyBorder="1" applyAlignment="1">
      <alignment horizontal="left" vertical="center" wrapText="1"/>
    </xf>
    <xf numFmtId="164" fontId="23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Subject-wise Class Average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Analysis!$B$4</c:f>
              <c:strCache>
                <c:ptCount val="1"/>
                <c:pt idx="0">
                  <c:v>Avg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Analysis!$A$5:$A$9</c:f>
              <c:strCache>
                <c:ptCount val="5"/>
                <c:pt idx="0">
                  <c:v>Tamil</c:v>
                </c:pt>
                <c:pt idx="1">
                  <c:v>English</c:v>
                </c:pt>
                <c:pt idx="2">
                  <c:v>Maths</c:v>
                </c:pt>
                <c:pt idx="3">
                  <c:v>Science</c:v>
                </c:pt>
                <c:pt idx="4">
                  <c:v>Social Science</c:v>
                </c:pt>
              </c:strCache>
            </c:strRef>
          </c:cat>
          <c:val>
            <c:numRef>
              <c:f>Analysis!$B$5:$B$9</c:f>
              <c:numCache>
                <c:formatCode>0.00</c:formatCode>
                <c:ptCount val="5"/>
                <c:pt idx="0">
                  <c:v>67.849999999999994</c:v>
                </c:pt>
                <c:pt idx="1">
                  <c:v>66.150000000000006</c:v>
                </c:pt>
                <c:pt idx="2">
                  <c:v>60.45</c:v>
                </c:pt>
                <c:pt idx="3">
                  <c:v>63.8</c:v>
                </c:pt>
                <c:pt idx="4">
                  <c:v>70.2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99-4CA1-A74B-C1BAEE2BD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Marks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Grade Distribution (No. of Students)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Analysis!$J$4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Analysis!$H$5:$H$11</c:f>
              <c:strCache>
                <c:ptCount val="7"/>
                <c:pt idx="0">
                  <c:v>A+</c:v>
                </c:pt>
                <c:pt idx="1">
                  <c:v>A</c:v>
                </c:pt>
                <c:pt idx="2">
                  <c:v>B+</c:v>
                </c:pt>
                <c:pt idx="3">
                  <c:v>B</c:v>
                </c:pt>
                <c:pt idx="4">
                  <c:v>C</c:v>
                </c:pt>
                <c:pt idx="5">
                  <c:v>D</c:v>
                </c:pt>
                <c:pt idx="6">
                  <c:v>F</c:v>
                </c:pt>
              </c:strCache>
            </c:strRef>
          </c:cat>
          <c:val>
            <c:numRef>
              <c:f>Analysis!$J$5:$J$11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9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4-44A7-AC9D-9D2F4902E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Students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Top 10 Students - Total Marks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'Student Data'!$I$1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'Student Data'!$B$2:$B$11</c:f>
              <c:strCache>
                <c:ptCount val="10"/>
                <c:pt idx="0">
                  <c:v>Arun Kumar</c:v>
                </c:pt>
                <c:pt idx="1">
                  <c:v>Priya Devi</c:v>
                </c:pt>
                <c:pt idx="2">
                  <c:v>Karthik Raja</c:v>
                </c:pt>
                <c:pt idx="3">
                  <c:v>Meena Lakshmi</c:v>
                </c:pt>
                <c:pt idx="4">
                  <c:v>Suresh Babu</c:v>
                </c:pt>
                <c:pt idx="5">
                  <c:v>Divya Shree</c:v>
                </c:pt>
                <c:pt idx="6">
                  <c:v>Vijay Anand</c:v>
                </c:pt>
                <c:pt idx="7">
                  <c:v>Nithya Sree</c:v>
                </c:pt>
                <c:pt idx="8">
                  <c:v>Murugan S</c:v>
                </c:pt>
                <c:pt idx="9">
                  <c:v>Kavitha R</c:v>
                </c:pt>
              </c:strCache>
            </c:strRef>
          </c:cat>
          <c:val>
            <c:numRef>
              <c:f>'Student Data'!$I$2:$I$11</c:f>
              <c:numCache>
                <c:formatCode>0</c:formatCode>
                <c:ptCount val="10"/>
                <c:pt idx="0">
                  <c:v>350</c:v>
                </c:pt>
                <c:pt idx="1">
                  <c:v>315</c:v>
                </c:pt>
                <c:pt idx="2">
                  <c:v>353</c:v>
                </c:pt>
                <c:pt idx="3">
                  <c:v>376</c:v>
                </c:pt>
                <c:pt idx="4">
                  <c:v>321</c:v>
                </c:pt>
                <c:pt idx="5">
                  <c:v>305</c:v>
                </c:pt>
                <c:pt idx="6">
                  <c:v>370</c:v>
                </c:pt>
                <c:pt idx="7">
                  <c:v>326</c:v>
                </c:pt>
                <c:pt idx="8">
                  <c:v>322</c:v>
                </c:pt>
                <c:pt idx="9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1-4946-99A1-AA57816A4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17</xdr:row>
      <xdr:rowOff>0</xdr:rowOff>
    </xdr:from>
    <xdr:ext cx="792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0</xdr:row>
      <xdr:rowOff>0</xdr:rowOff>
    </xdr:from>
    <xdr:ext cx="8640000" cy="57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3C6E"/>
  </sheetPr>
  <dimension ref="A1:N21"/>
  <sheetViews>
    <sheetView tabSelected="1" topLeftCell="A11" workbookViewId="0">
      <selection sqref="A1:N2"/>
    </sheetView>
  </sheetViews>
  <sheetFormatPr defaultRowHeight="14.4" x14ac:dyDescent="0.3"/>
  <cols>
    <col min="1" max="1" width="6" customWidth="1"/>
    <col min="2" max="2" width="18" customWidth="1"/>
    <col min="3" max="5" width="8" customWidth="1"/>
    <col min="6" max="6" width="9" customWidth="1"/>
    <col min="7" max="7" width="10" customWidth="1"/>
    <col min="8" max="8" width="2" customWidth="1"/>
    <col min="9" max="9" width="16" customWidth="1"/>
    <col min="10" max="13" width="10" customWidth="1"/>
    <col min="14" max="14" width="12" customWidth="1"/>
  </cols>
  <sheetData>
    <row r="1" spans="1:14" ht="37.950000000000003" customHeight="1" x14ac:dyDescent="0.3">
      <c r="A1" s="115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2" spans="1:14" x14ac:dyDescent="0.3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</row>
    <row r="3" spans="1:14" ht="19.95" customHeight="1" x14ac:dyDescent="0.3">
      <c r="A3" s="114" t="s">
        <v>1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</row>
    <row r="5" spans="1:14" ht="31.95" customHeight="1" x14ac:dyDescent="0.3">
      <c r="A5" s="109" t="s">
        <v>2</v>
      </c>
      <c r="B5" s="103"/>
      <c r="C5" s="103"/>
      <c r="D5" s="109" t="s">
        <v>3</v>
      </c>
      <c r="E5" s="103"/>
      <c r="F5" s="103"/>
      <c r="G5" s="109" t="s">
        <v>4</v>
      </c>
      <c r="H5" s="103"/>
      <c r="I5" s="103"/>
      <c r="J5" s="109" t="s">
        <v>5</v>
      </c>
      <c r="K5" s="103"/>
      <c r="L5" s="103"/>
    </row>
    <row r="6" spans="1:14" ht="16.05" customHeight="1" x14ac:dyDescent="0.3">
      <c r="A6" s="102" t="s">
        <v>6</v>
      </c>
      <c r="B6" s="103"/>
      <c r="C6" s="103"/>
      <c r="D6" s="102" t="s">
        <v>7</v>
      </c>
      <c r="E6" s="103"/>
      <c r="F6" s="103"/>
      <c r="G6" s="102" t="s">
        <v>8</v>
      </c>
      <c r="H6" s="103"/>
      <c r="I6" s="103"/>
      <c r="J6" s="102" t="s">
        <v>9</v>
      </c>
      <c r="K6" s="103"/>
      <c r="L6" s="103"/>
    </row>
    <row r="7" spans="1:14" ht="28.05" customHeight="1" x14ac:dyDescent="0.3">
      <c r="A7" s="117">
        <f>COUNTA('Student Data'!B2:B21)</f>
        <v>20</v>
      </c>
      <c r="B7" s="103"/>
      <c r="C7" s="103"/>
      <c r="D7" s="105">
        <f>AVERAGE('Student Data'!J2:J21)</f>
        <v>65.690000000000012</v>
      </c>
      <c r="E7" s="103"/>
      <c r="F7" s="103"/>
      <c r="G7" s="118">
        <f>MAX('Student Data'!I2:I21)</f>
        <v>387</v>
      </c>
      <c r="H7" s="103"/>
      <c r="I7" s="103"/>
      <c r="J7" s="108">
        <f>IFERROR(COUNTIF('Student Data'!M2:M21,"PASS")/20*100,0)</f>
        <v>100</v>
      </c>
      <c r="K7" s="103"/>
      <c r="L7" s="103"/>
    </row>
    <row r="8" spans="1:14" ht="10.050000000000001" customHeight="1" x14ac:dyDescent="0.3">
      <c r="A8" s="110"/>
      <c r="B8" s="103"/>
      <c r="C8" s="103"/>
      <c r="D8" s="110"/>
      <c r="E8" s="103"/>
      <c r="F8" s="103"/>
      <c r="G8" s="110"/>
      <c r="H8" s="103"/>
      <c r="I8" s="103"/>
      <c r="J8" s="110"/>
      <c r="K8" s="103"/>
      <c r="L8" s="103"/>
    </row>
    <row r="10" spans="1:14" ht="22.05" customHeight="1" x14ac:dyDescent="0.3">
      <c r="A10" s="104" t="s">
        <v>10</v>
      </c>
      <c r="B10" s="103"/>
      <c r="C10" s="103"/>
      <c r="D10" s="103"/>
      <c r="E10" s="103"/>
      <c r="F10" s="103"/>
      <c r="G10" s="103"/>
      <c r="I10" s="104" t="s">
        <v>11</v>
      </c>
      <c r="J10" s="103"/>
      <c r="K10" s="103"/>
      <c r="L10" s="103"/>
      <c r="M10" s="103"/>
      <c r="N10" s="103"/>
    </row>
    <row r="11" spans="1:14" ht="19.95" customHeight="1" x14ac:dyDescent="0.3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17</v>
      </c>
      <c r="G11" s="1" t="s">
        <v>18</v>
      </c>
      <c r="I11" s="1" t="s">
        <v>19</v>
      </c>
      <c r="J11" s="1" t="s">
        <v>15</v>
      </c>
      <c r="K11" s="1" t="s">
        <v>20</v>
      </c>
      <c r="L11" s="1" t="s">
        <v>21</v>
      </c>
      <c r="M11" s="1" t="s">
        <v>22</v>
      </c>
      <c r="N11" s="1" t="s">
        <v>23</v>
      </c>
    </row>
    <row r="12" spans="1:14" ht="19.95" customHeight="1" x14ac:dyDescent="0.3">
      <c r="A12" s="2" t="s">
        <v>24</v>
      </c>
      <c r="B12" s="3" t="str">
        <f>IFERROR(INDEX('Student Data'!B$2:B$21,MATCH(1,'Student Data'!N$2:N$21,0)),"")</f>
        <v>Lavanya C</v>
      </c>
      <c r="C12" s="4">
        <f>IFERROR(INDEX('Student Data'!I$2:I$21,MATCH(1,'Student Data'!N$2:N$21,0)),"")</f>
        <v>387</v>
      </c>
      <c r="D12" s="5">
        <f>IFERROR(INDEX('Student Data'!J$2:J$21,MATCH(1,'Student Data'!N$2:N$21,0)),"")</f>
        <v>77.400000000000006</v>
      </c>
      <c r="E12" s="6" t="str">
        <f>IFERROR(INDEX('Student Data'!L$2:L$21,MATCH(1,'Student Data'!N$2:N$21,0)),"")</f>
        <v>B+</v>
      </c>
      <c r="F12" s="7" t="str">
        <f>IFERROR(INDEX('Student Data'!M$2:M$21,MATCH(1,'Student Data'!N$2:N$21,0)),"")</f>
        <v>PASS</v>
      </c>
      <c r="G12" s="5">
        <f>IFERROR(INDEX('Student Data'!K$2:K$21,MATCH(1,'Student Data'!N$2:N$21,0)),"")</f>
        <v>77.400000000000006</v>
      </c>
      <c r="I12" s="8" t="s">
        <v>25</v>
      </c>
      <c r="J12" s="9">
        <f>AVERAGE('Student Data'!D2:D21)</f>
        <v>67.849999999999994</v>
      </c>
      <c r="K12" s="10">
        <f>MAX('Student Data'!D2:D21)</f>
        <v>98</v>
      </c>
      <c r="L12" s="11">
        <f>MIN('Student Data'!D2:D21)</f>
        <v>39</v>
      </c>
      <c r="M12" s="12">
        <f>IFERROR(COUNTIF('Student Data'!D2:D21,"&gt;="&amp;35)/20*100,0)</f>
        <v>100</v>
      </c>
      <c r="N12" s="13" t="str">
        <f>IF(AVERAGE('Student Data'!D2:D21)&gt;=70,"Strong",IF(AVERAGE('Student Data'!D2:D21)&gt;=55,"Average","Weak"))</f>
        <v>Average</v>
      </c>
    </row>
    <row r="13" spans="1:14" ht="19.95" customHeight="1" x14ac:dyDescent="0.3">
      <c r="A13" s="14" t="s">
        <v>26</v>
      </c>
      <c r="B13" s="15" t="str">
        <f>IFERROR(INDEX('Student Data'!B$2:B$21,MATCH(2,'Student Data'!N$2:N$21,0)),"")</f>
        <v>Bharathi M</v>
      </c>
      <c r="C13" s="16">
        <f>IFERROR(INDEX('Student Data'!I$2:I$21,MATCH(2,'Student Data'!N$2:N$21,0)),"")</f>
        <v>379</v>
      </c>
      <c r="D13" s="17">
        <f>IFERROR(INDEX('Student Data'!J$2:J$21,MATCH(2,'Student Data'!N$2:N$21,0)),"")</f>
        <v>75.8</v>
      </c>
      <c r="E13" s="18" t="str">
        <f>IFERROR(INDEX('Student Data'!L$2:L$21,MATCH(2,'Student Data'!N$2:N$21,0)),"")</f>
        <v>B+</v>
      </c>
      <c r="F13" s="19" t="str">
        <f>IFERROR(INDEX('Student Data'!M$2:M$21,MATCH(2,'Student Data'!N$2:N$21,0)),"")</f>
        <v>PASS</v>
      </c>
      <c r="G13" s="17">
        <f>IFERROR(INDEX('Student Data'!K$2:K$21,MATCH(2,'Student Data'!N$2:N$21,0)),"")</f>
        <v>75.8</v>
      </c>
      <c r="I13" s="20" t="s">
        <v>27</v>
      </c>
      <c r="J13" s="21">
        <f>AVERAGE('Student Data'!E2:E21)</f>
        <v>66.150000000000006</v>
      </c>
      <c r="K13" s="22">
        <f>MAX('Student Data'!E2:E21)</f>
        <v>97</v>
      </c>
      <c r="L13" s="23">
        <f>MIN('Student Data'!E2:E21)</f>
        <v>35</v>
      </c>
      <c r="M13" s="24">
        <f>IFERROR(COUNTIF('Student Data'!E2:E21,"&gt;="&amp;35)/20*100,0)</f>
        <v>100</v>
      </c>
      <c r="N13" s="25" t="str">
        <f>IF(AVERAGE('Student Data'!E2:E21)&gt;=70,"Strong",IF(AVERAGE('Student Data'!E2:E21)&gt;=55,"Average","Weak"))</f>
        <v>Average</v>
      </c>
    </row>
    <row r="14" spans="1:14" ht="19.95" customHeight="1" x14ac:dyDescent="0.3">
      <c r="A14" s="26" t="s">
        <v>28</v>
      </c>
      <c r="B14" s="27" t="str">
        <f>IFERROR(INDEX('Student Data'!B$2:B$21,MATCH(3,'Student Data'!N$2:N$21,0)),"")</f>
        <v>Meena Lakshmi</v>
      </c>
      <c r="C14" s="28">
        <f>IFERROR(INDEX('Student Data'!I$2:I$21,MATCH(3,'Student Data'!N$2:N$21,0)),"")</f>
        <v>376</v>
      </c>
      <c r="D14" s="29">
        <f>IFERROR(INDEX('Student Data'!J$2:J$21,MATCH(3,'Student Data'!N$2:N$21,0)),"")</f>
        <v>75.2</v>
      </c>
      <c r="E14" s="30" t="str">
        <f>IFERROR(INDEX('Student Data'!L$2:L$21,MATCH(3,'Student Data'!N$2:N$21,0)),"")</f>
        <v>B+</v>
      </c>
      <c r="F14" s="31" t="str">
        <f>IFERROR(INDEX('Student Data'!M$2:M$21,MATCH(3,'Student Data'!N$2:N$21,0)),"")</f>
        <v>PASS</v>
      </c>
      <c r="G14" s="29">
        <f>IFERROR(INDEX('Student Data'!K$2:K$21,MATCH(3,'Student Data'!N$2:N$21,0)),"")</f>
        <v>75.2</v>
      </c>
      <c r="I14" s="32" t="s">
        <v>29</v>
      </c>
      <c r="J14" s="33">
        <f>AVERAGE('Student Data'!F2:F21)</f>
        <v>60.45</v>
      </c>
      <c r="K14" s="34">
        <f>MAX('Student Data'!F2:F21)</f>
        <v>91</v>
      </c>
      <c r="L14" s="35">
        <f>MIN('Student Data'!F2:F21)</f>
        <v>37</v>
      </c>
      <c r="M14" s="36">
        <f>IFERROR(COUNTIF('Student Data'!F2:F21,"&gt;="&amp;35)/20*100,0)</f>
        <v>100</v>
      </c>
      <c r="N14" s="37" t="str">
        <f>IF(AVERAGE('Student Data'!F2:F21)&gt;=70,"Strong",IF(AVERAGE('Student Data'!F2:F21)&gt;=55,"Average","Weak"))</f>
        <v>Average</v>
      </c>
    </row>
    <row r="15" spans="1:14" ht="19.95" customHeight="1" x14ac:dyDescent="0.3">
      <c r="A15" s="38" t="s">
        <v>30</v>
      </c>
      <c r="B15" s="39" t="str">
        <f>IFERROR(INDEX('Student Data'!B$2:B$21,MATCH(4,'Student Data'!N$2:N$21,0)),"")</f>
        <v>Vijay Anand</v>
      </c>
      <c r="C15" s="40">
        <f>IFERROR(INDEX('Student Data'!I$2:I$21,MATCH(4,'Student Data'!N$2:N$21,0)),"")</f>
        <v>370</v>
      </c>
      <c r="D15" s="41">
        <f>IFERROR(INDEX('Student Data'!J$2:J$21,MATCH(4,'Student Data'!N$2:N$21,0)),"")</f>
        <v>74</v>
      </c>
      <c r="E15" s="42" t="str">
        <f>IFERROR(INDEX('Student Data'!L$2:L$21,MATCH(4,'Student Data'!N$2:N$21,0)),"")</f>
        <v>B+</v>
      </c>
      <c r="F15" s="43" t="str">
        <f>IFERROR(INDEX('Student Data'!M$2:M$21,MATCH(4,'Student Data'!N$2:N$21,0)),"")</f>
        <v>PASS</v>
      </c>
      <c r="G15" s="41">
        <f>IFERROR(INDEX('Student Data'!K$2:K$21,MATCH(4,'Student Data'!N$2:N$21,0)),"")</f>
        <v>74</v>
      </c>
      <c r="I15" s="44" t="s">
        <v>31</v>
      </c>
      <c r="J15" s="45">
        <f>AVERAGE('Student Data'!G2:G21)</f>
        <v>63.8</v>
      </c>
      <c r="K15" s="46">
        <f>MAX('Student Data'!G2:G21)</f>
        <v>88</v>
      </c>
      <c r="L15" s="47">
        <f>MIN('Student Data'!G2:G21)</f>
        <v>36</v>
      </c>
      <c r="M15" s="48">
        <f>IFERROR(COUNTIF('Student Data'!G2:G21,"&gt;="&amp;35)/20*100,0)</f>
        <v>100</v>
      </c>
      <c r="N15" s="49" t="str">
        <f>IF(AVERAGE('Student Data'!G2:G21)&gt;=70,"Strong",IF(AVERAGE('Student Data'!G2:G21)&gt;=55,"Average","Weak"))</f>
        <v>Average</v>
      </c>
    </row>
    <row r="16" spans="1:14" ht="19.95" customHeight="1" x14ac:dyDescent="0.3">
      <c r="A16" s="50" t="s">
        <v>32</v>
      </c>
      <c r="B16" s="51" t="str">
        <f>IFERROR(INDEX('Student Data'!B$2:B$21,MATCH(5,'Student Data'!N$2:N$21,0)),"")</f>
        <v>Rekha N</v>
      </c>
      <c r="C16" s="52">
        <f>IFERROR(INDEX('Student Data'!I$2:I$21,MATCH(5,'Student Data'!N$2:N$21,0)),"")</f>
        <v>360</v>
      </c>
      <c r="D16" s="53">
        <f>IFERROR(INDEX('Student Data'!J$2:J$21,MATCH(5,'Student Data'!N$2:N$21,0)),"")</f>
        <v>72</v>
      </c>
      <c r="E16" s="54" t="str">
        <f>IFERROR(INDEX('Student Data'!L$2:L$21,MATCH(5,'Student Data'!N$2:N$21,0)),"")</f>
        <v>B+</v>
      </c>
      <c r="F16" s="55" t="str">
        <f>IFERROR(INDEX('Student Data'!M$2:M$21,MATCH(5,'Student Data'!N$2:N$21,0)),"")</f>
        <v>PASS</v>
      </c>
      <c r="G16" s="53">
        <f>IFERROR(INDEX('Student Data'!K$2:K$21,MATCH(5,'Student Data'!N$2:N$21,0)),"")</f>
        <v>72</v>
      </c>
      <c r="I16" s="56" t="s">
        <v>33</v>
      </c>
      <c r="J16" s="57">
        <f>AVERAGE('Student Data'!H2:H21)</f>
        <v>70.2</v>
      </c>
      <c r="K16" s="58">
        <f>MAX('Student Data'!H2:H21)</f>
        <v>95</v>
      </c>
      <c r="L16" s="59">
        <f>MIN('Student Data'!H2:H21)</f>
        <v>35</v>
      </c>
      <c r="M16" s="60">
        <f>IFERROR(COUNTIF('Student Data'!H2:H21,"&gt;="&amp;35)/20*100,0)</f>
        <v>100</v>
      </c>
      <c r="N16" s="61" t="str">
        <f>IF(AVERAGE('Student Data'!H2:H21)&gt;=70,"Strong",IF(AVERAGE('Student Data'!H2:H21)&gt;=55,"Average","Weak"))</f>
        <v>Strong</v>
      </c>
    </row>
    <row r="18" spans="9:14" x14ac:dyDescent="0.3">
      <c r="I18" s="104" t="s">
        <v>34</v>
      </c>
      <c r="J18" s="103"/>
      <c r="K18" s="103"/>
      <c r="L18" s="103"/>
      <c r="M18" s="103"/>
      <c r="N18" s="103"/>
    </row>
    <row r="19" spans="9:14" ht="28.05" customHeight="1" x14ac:dyDescent="0.3">
      <c r="I19" s="113" t="s">
        <v>35</v>
      </c>
      <c r="J19" s="103"/>
      <c r="K19" s="103"/>
      <c r="L19" s="116">
        <f>COUNTIF('Student Data'!M2:M21,"PASS")</f>
        <v>20</v>
      </c>
      <c r="M19" s="103"/>
      <c r="N19" s="103"/>
    </row>
    <row r="20" spans="9:14" ht="28.05" customHeight="1" x14ac:dyDescent="0.3">
      <c r="I20" s="111" t="s">
        <v>36</v>
      </c>
      <c r="J20" s="103"/>
      <c r="K20" s="103"/>
      <c r="L20" s="107">
        <f>COUNTIF('Student Data'!M2:M21,"FAIL")</f>
        <v>0</v>
      </c>
      <c r="M20" s="103"/>
      <c r="N20" s="103"/>
    </row>
    <row r="21" spans="9:14" ht="28.05" customHeight="1" x14ac:dyDescent="0.3">
      <c r="I21" s="106" t="s">
        <v>37</v>
      </c>
      <c r="J21" s="103"/>
      <c r="K21" s="103"/>
      <c r="L21" s="112">
        <f>IFERROR(COUNTIF('Student Data'!M2:M21,"PASS")/20*100,0)</f>
        <v>100</v>
      </c>
      <c r="M21" s="103"/>
      <c r="N21" s="103"/>
    </row>
  </sheetData>
  <mergeCells count="27">
    <mergeCell ref="A3:N3"/>
    <mergeCell ref="D5:F5"/>
    <mergeCell ref="I10:N10"/>
    <mergeCell ref="J8:L8"/>
    <mergeCell ref="A1:N2"/>
    <mergeCell ref="J5:L5"/>
    <mergeCell ref="A6:C6"/>
    <mergeCell ref="D6:F6"/>
    <mergeCell ref="G8:I8"/>
    <mergeCell ref="A7:C7"/>
    <mergeCell ref="G7:I7"/>
    <mergeCell ref="A5:C5"/>
    <mergeCell ref="G5:I5"/>
    <mergeCell ref="A8:C8"/>
    <mergeCell ref="I20:K20"/>
    <mergeCell ref="D8:F8"/>
    <mergeCell ref="I19:K19"/>
    <mergeCell ref="J6:L6"/>
    <mergeCell ref="G6:I6"/>
    <mergeCell ref="I18:N18"/>
    <mergeCell ref="D7:F7"/>
    <mergeCell ref="I21:K21"/>
    <mergeCell ref="L20:N20"/>
    <mergeCell ref="A10:G10"/>
    <mergeCell ref="J7:L7"/>
    <mergeCell ref="L21:N21"/>
    <mergeCell ref="L19:N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N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18" customWidth="1"/>
    <col min="3" max="3" width="10" customWidth="1"/>
    <col min="4" max="4" width="7" customWidth="1"/>
    <col min="5" max="5" width="8" customWidth="1"/>
    <col min="6" max="6" width="7" customWidth="1"/>
    <col min="7" max="7" width="8" customWidth="1"/>
    <col min="8" max="8" width="14" customWidth="1"/>
    <col min="9" max="9" width="7" customWidth="1"/>
    <col min="10" max="10" width="8" customWidth="1"/>
    <col min="11" max="11" width="13" customWidth="1"/>
    <col min="12" max="13" width="7" customWidth="1"/>
    <col min="14" max="14" width="6" customWidth="1"/>
  </cols>
  <sheetData>
    <row r="1" spans="1:14" ht="30" customHeight="1" x14ac:dyDescent="0.3">
      <c r="A1" s="62" t="s">
        <v>38</v>
      </c>
      <c r="B1" s="62" t="s">
        <v>13</v>
      </c>
      <c r="C1" s="62" t="s">
        <v>39</v>
      </c>
      <c r="D1" s="62" t="s">
        <v>25</v>
      </c>
      <c r="E1" s="62" t="s">
        <v>27</v>
      </c>
      <c r="F1" s="62" t="s">
        <v>29</v>
      </c>
      <c r="G1" s="62" t="s">
        <v>31</v>
      </c>
      <c r="H1" s="62" t="s">
        <v>33</v>
      </c>
      <c r="I1" s="62" t="s">
        <v>14</v>
      </c>
      <c r="J1" s="62" t="s">
        <v>40</v>
      </c>
      <c r="K1" s="62" t="s">
        <v>41</v>
      </c>
      <c r="L1" s="62" t="s">
        <v>16</v>
      </c>
      <c r="M1" s="62" t="s">
        <v>17</v>
      </c>
      <c r="N1" s="62" t="s">
        <v>12</v>
      </c>
    </row>
    <row r="2" spans="1:14" x14ac:dyDescent="0.3">
      <c r="A2" s="63">
        <v>1</v>
      </c>
      <c r="B2" s="64" t="s">
        <v>42</v>
      </c>
      <c r="C2" s="63" t="s">
        <v>43</v>
      </c>
      <c r="D2" s="63">
        <v>86</v>
      </c>
      <c r="E2" s="63">
        <v>83</v>
      </c>
      <c r="F2" s="63">
        <v>60</v>
      </c>
      <c r="G2" s="63">
        <v>57</v>
      </c>
      <c r="H2" s="63">
        <v>64</v>
      </c>
      <c r="I2" s="65">
        <f t="shared" ref="I2:I21" si="0">SUM(D2:H2)</f>
        <v>350</v>
      </c>
      <c r="J2" s="66">
        <f t="shared" ref="J2:J21" si="1">I2/5</f>
        <v>70</v>
      </c>
      <c r="K2" s="66">
        <f t="shared" ref="K2:K21" si="2">I2/500*100</f>
        <v>70</v>
      </c>
      <c r="L2" s="67" t="str">
        <f t="shared" ref="L2:L21" si="3">IF(K2&gt;=90,"A+",IF(K2&gt;=80,"A",IF(K2&gt;=70,"B+",IF(K2&gt;=60,"B",IF(K2&gt;=50,"C",IF(K2&gt;=35,"D","F"))))))</f>
        <v>B+</v>
      </c>
      <c r="M2" s="67" t="str">
        <f t="shared" ref="M2:M21" si="4">IF(AND(D2&gt;=35,E2&gt;=35,F2&gt;=35,G2&gt;=35,H2&gt;=35),"PASS","FAIL")</f>
        <v>PASS</v>
      </c>
      <c r="N2" s="63">
        <f t="shared" ref="N2:N21" si="5">RANK(I2,I$2:I$21,0)</f>
        <v>7</v>
      </c>
    </row>
    <row r="3" spans="1:14" x14ac:dyDescent="0.3">
      <c r="A3" s="68">
        <v>2</v>
      </c>
      <c r="B3" s="69" t="s">
        <v>44</v>
      </c>
      <c r="C3" s="68" t="s">
        <v>45</v>
      </c>
      <c r="D3" s="68">
        <v>66</v>
      </c>
      <c r="E3" s="68">
        <v>52</v>
      </c>
      <c r="F3" s="68">
        <v>46</v>
      </c>
      <c r="G3" s="68">
        <v>67</v>
      </c>
      <c r="H3" s="68">
        <v>84</v>
      </c>
      <c r="I3" s="70">
        <f t="shared" si="0"/>
        <v>315</v>
      </c>
      <c r="J3" s="71">
        <f t="shared" si="1"/>
        <v>63</v>
      </c>
      <c r="K3" s="71">
        <f t="shared" si="2"/>
        <v>63</v>
      </c>
      <c r="L3" s="72" t="str">
        <f t="shared" si="3"/>
        <v>B</v>
      </c>
      <c r="M3" s="72" t="str">
        <f t="shared" si="4"/>
        <v>PASS</v>
      </c>
      <c r="N3" s="68">
        <f t="shared" si="5"/>
        <v>15</v>
      </c>
    </row>
    <row r="4" spans="1:14" x14ac:dyDescent="0.3">
      <c r="A4" s="63">
        <v>3</v>
      </c>
      <c r="B4" s="64" t="s">
        <v>46</v>
      </c>
      <c r="C4" s="63" t="s">
        <v>47</v>
      </c>
      <c r="D4" s="63">
        <v>46</v>
      </c>
      <c r="E4" s="63">
        <v>97</v>
      </c>
      <c r="F4" s="63">
        <v>60</v>
      </c>
      <c r="G4" s="63">
        <v>88</v>
      </c>
      <c r="H4" s="63">
        <v>62</v>
      </c>
      <c r="I4" s="65">
        <f t="shared" si="0"/>
        <v>353</v>
      </c>
      <c r="J4" s="66">
        <f t="shared" si="1"/>
        <v>70.599999999999994</v>
      </c>
      <c r="K4" s="66">
        <f t="shared" si="2"/>
        <v>70.599999999999994</v>
      </c>
      <c r="L4" s="67" t="str">
        <f t="shared" si="3"/>
        <v>B+</v>
      </c>
      <c r="M4" s="67" t="str">
        <f t="shared" si="4"/>
        <v>PASS</v>
      </c>
      <c r="N4" s="63">
        <f t="shared" si="5"/>
        <v>6</v>
      </c>
    </row>
    <row r="5" spans="1:14" x14ac:dyDescent="0.3">
      <c r="A5" s="68">
        <v>4</v>
      </c>
      <c r="B5" s="69" t="s">
        <v>48</v>
      </c>
      <c r="C5" s="68" t="s">
        <v>49</v>
      </c>
      <c r="D5" s="68">
        <v>82</v>
      </c>
      <c r="E5" s="68">
        <v>84</v>
      </c>
      <c r="F5" s="68">
        <v>62</v>
      </c>
      <c r="G5" s="68">
        <v>54</v>
      </c>
      <c r="H5" s="68">
        <v>94</v>
      </c>
      <c r="I5" s="70">
        <f t="shared" si="0"/>
        <v>376</v>
      </c>
      <c r="J5" s="71">
        <f t="shared" si="1"/>
        <v>75.2</v>
      </c>
      <c r="K5" s="71">
        <f t="shared" si="2"/>
        <v>75.2</v>
      </c>
      <c r="L5" s="72" t="str">
        <f t="shared" si="3"/>
        <v>B+</v>
      </c>
      <c r="M5" s="72" t="str">
        <f t="shared" si="4"/>
        <v>PASS</v>
      </c>
      <c r="N5" s="68">
        <f t="shared" si="5"/>
        <v>3</v>
      </c>
    </row>
    <row r="6" spans="1:14" x14ac:dyDescent="0.3">
      <c r="A6" s="63">
        <v>5</v>
      </c>
      <c r="B6" s="64" t="s">
        <v>50</v>
      </c>
      <c r="C6" s="63" t="s">
        <v>51</v>
      </c>
      <c r="D6" s="63">
        <v>57</v>
      </c>
      <c r="E6" s="63">
        <v>78</v>
      </c>
      <c r="F6" s="63">
        <v>45</v>
      </c>
      <c r="G6" s="63">
        <v>46</v>
      </c>
      <c r="H6" s="63">
        <v>95</v>
      </c>
      <c r="I6" s="65">
        <f t="shared" si="0"/>
        <v>321</v>
      </c>
      <c r="J6" s="66">
        <f t="shared" si="1"/>
        <v>64.2</v>
      </c>
      <c r="K6" s="66">
        <f t="shared" si="2"/>
        <v>64.2</v>
      </c>
      <c r="L6" s="67" t="str">
        <f t="shared" si="3"/>
        <v>B</v>
      </c>
      <c r="M6" s="67" t="str">
        <f t="shared" si="4"/>
        <v>PASS</v>
      </c>
      <c r="N6" s="63">
        <f t="shared" si="5"/>
        <v>12</v>
      </c>
    </row>
    <row r="7" spans="1:14" x14ac:dyDescent="0.3">
      <c r="A7" s="68">
        <v>6</v>
      </c>
      <c r="B7" s="69" t="s">
        <v>52</v>
      </c>
      <c r="C7" s="68" t="s">
        <v>53</v>
      </c>
      <c r="D7" s="68">
        <v>75</v>
      </c>
      <c r="E7" s="68">
        <v>86</v>
      </c>
      <c r="F7" s="68">
        <v>40</v>
      </c>
      <c r="G7" s="68">
        <v>69</v>
      </c>
      <c r="H7" s="68">
        <v>35</v>
      </c>
      <c r="I7" s="70">
        <f t="shared" si="0"/>
        <v>305</v>
      </c>
      <c r="J7" s="71">
        <f t="shared" si="1"/>
        <v>61</v>
      </c>
      <c r="K7" s="71">
        <f t="shared" si="2"/>
        <v>61</v>
      </c>
      <c r="L7" s="72" t="str">
        <f t="shared" si="3"/>
        <v>B</v>
      </c>
      <c r="M7" s="72" t="str">
        <f t="shared" si="4"/>
        <v>PASS</v>
      </c>
      <c r="N7" s="68">
        <f t="shared" si="5"/>
        <v>16</v>
      </c>
    </row>
    <row r="8" spans="1:14" x14ac:dyDescent="0.3">
      <c r="A8" s="63">
        <v>7</v>
      </c>
      <c r="B8" s="64" t="s">
        <v>54</v>
      </c>
      <c r="C8" s="63" t="s">
        <v>55</v>
      </c>
      <c r="D8" s="63">
        <v>89</v>
      </c>
      <c r="E8" s="63">
        <v>61</v>
      </c>
      <c r="F8" s="63">
        <v>81</v>
      </c>
      <c r="G8" s="63">
        <v>45</v>
      </c>
      <c r="H8" s="63">
        <v>94</v>
      </c>
      <c r="I8" s="65">
        <f t="shared" si="0"/>
        <v>370</v>
      </c>
      <c r="J8" s="66">
        <f t="shared" si="1"/>
        <v>74</v>
      </c>
      <c r="K8" s="66">
        <f t="shared" si="2"/>
        <v>74</v>
      </c>
      <c r="L8" s="67" t="str">
        <f t="shared" si="3"/>
        <v>B+</v>
      </c>
      <c r="M8" s="67" t="str">
        <f t="shared" si="4"/>
        <v>PASS</v>
      </c>
      <c r="N8" s="63">
        <f t="shared" si="5"/>
        <v>4</v>
      </c>
    </row>
    <row r="9" spans="1:14" x14ac:dyDescent="0.3">
      <c r="A9" s="68">
        <v>8</v>
      </c>
      <c r="B9" s="69" t="s">
        <v>56</v>
      </c>
      <c r="C9" s="68" t="s">
        <v>57</v>
      </c>
      <c r="D9" s="68">
        <v>60</v>
      </c>
      <c r="E9" s="68">
        <v>94</v>
      </c>
      <c r="F9" s="68">
        <v>41</v>
      </c>
      <c r="G9" s="68">
        <v>80</v>
      </c>
      <c r="H9" s="68">
        <v>51</v>
      </c>
      <c r="I9" s="70">
        <f t="shared" si="0"/>
        <v>326</v>
      </c>
      <c r="J9" s="71">
        <f t="shared" si="1"/>
        <v>65.2</v>
      </c>
      <c r="K9" s="71">
        <f t="shared" si="2"/>
        <v>65.2</v>
      </c>
      <c r="L9" s="72" t="str">
        <f t="shared" si="3"/>
        <v>B</v>
      </c>
      <c r="M9" s="72" t="str">
        <f t="shared" si="4"/>
        <v>PASS</v>
      </c>
      <c r="N9" s="68">
        <f t="shared" si="5"/>
        <v>10</v>
      </c>
    </row>
    <row r="10" spans="1:14" x14ac:dyDescent="0.3">
      <c r="A10" s="63">
        <v>9</v>
      </c>
      <c r="B10" s="64" t="s">
        <v>58</v>
      </c>
      <c r="C10" s="63" t="s">
        <v>59</v>
      </c>
      <c r="D10" s="63">
        <v>62</v>
      </c>
      <c r="E10" s="63">
        <v>55</v>
      </c>
      <c r="F10" s="63">
        <v>91</v>
      </c>
      <c r="G10" s="63">
        <v>57</v>
      </c>
      <c r="H10" s="63">
        <v>57</v>
      </c>
      <c r="I10" s="65">
        <f t="shared" si="0"/>
        <v>322</v>
      </c>
      <c r="J10" s="66">
        <f t="shared" si="1"/>
        <v>64.400000000000006</v>
      </c>
      <c r="K10" s="66">
        <f t="shared" si="2"/>
        <v>64.400000000000006</v>
      </c>
      <c r="L10" s="67" t="str">
        <f t="shared" si="3"/>
        <v>B</v>
      </c>
      <c r="M10" s="67" t="str">
        <f t="shared" si="4"/>
        <v>PASS</v>
      </c>
      <c r="N10" s="63">
        <f t="shared" si="5"/>
        <v>11</v>
      </c>
    </row>
    <row r="11" spans="1:14" x14ac:dyDescent="0.3">
      <c r="A11" s="68">
        <v>10</v>
      </c>
      <c r="B11" s="69" t="s">
        <v>60</v>
      </c>
      <c r="C11" s="68" t="s">
        <v>61</v>
      </c>
      <c r="D11" s="68">
        <v>39</v>
      </c>
      <c r="E11" s="68">
        <v>49</v>
      </c>
      <c r="F11" s="68">
        <v>37</v>
      </c>
      <c r="G11" s="68">
        <v>56</v>
      </c>
      <c r="H11" s="68">
        <v>95</v>
      </c>
      <c r="I11" s="70">
        <f t="shared" si="0"/>
        <v>276</v>
      </c>
      <c r="J11" s="71">
        <f t="shared" si="1"/>
        <v>55.2</v>
      </c>
      <c r="K11" s="71">
        <f t="shared" si="2"/>
        <v>55.2</v>
      </c>
      <c r="L11" s="72" t="str">
        <f t="shared" si="3"/>
        <v>C</v>
      </c>
      <c r="M11" s="72" t="str">
        <f t="shared" si="4"/>
        <v>PASS</v>
      </c>
      <c r="N11" s="68">
        <f t="shared" si="5"/>
        <v>19</v>
      </c>
    </row>
    <row r="12" spans="1:14" x14ac:dyDescent="0.3">
      <c r="A12" s="63">
        <v>11</v>
      </c>
      <c r="B12" s="64" t="s">
        <v>62</v>
      </c>
      <c r="C12" s="63" t="s">
        <v>63</v>
      </c>
      <c r="D12" s="63">
        <v>88</v>
      </c>
      <c r="E12" s="63">
        <v>45</v>
      </c>
      <c r="F12" s="63">
        <v>89</v>
      </c>
      <c r="G12" s="63">
        <v>46</v>
      </c>
      <c r="H12" s="63">
        <v>53</v>
      </c>
      <c r="I12" s="65">
        <f t="shared" si="0"/>
        <v>321</v>
      </c>
      <c r="J12" s="66">
        <f t="shared" si="1"/>
        <v>64.2</v>
      </c>
      <c r="K12" s="66">
        <f t="shared" si="2"/>
        <v>64.2</v>
      </c>
      <c r="L12" s="67" t="str">
        <f t="shared" si="3"/>
        <v>B</v>
      </c>
      <c r="M12" s="67" t="str">
        <f t="shared" si="4"/>
        <v>PASS</v>
      </c>
      <c r="N12" s="63">
        <f t="shared" si="5"/>
        <v>12</v>
      </c>
    </row>
    <row r="13" spans="1:14" x14ac:dyDescent="0.3">
      <c r="A13" s="68">
        <v>12</v>
      </c>
      <c r="B13" s="69" t="s">
        <v>64</v>
      </c>
      <c r="C13" s="68" t="s">
        <v>65</v>
      </c>
      <c r="D13" s="68">
        <v>74</v>
      </c>
      <c r="E13" s="68">
        <v>35</v>
      </c>
      <c r="F13" s="68">
        <v>83</v>
      </c>
      <c r="G13" s="68">
        <v>77</v>
      </c>
      <c r="H13" s="68">
        <v>52</v>
      </c>
      <c r="I13" s="70">
        <f t="shared" si="0"/>
        <v>321</v>
      </c>
      <c r="J13" s="71">
        <f t="shared" si="1"/>
        <v>64.2</v>
      </c>
      <c r="K13" s="71">
        <f t="shared" si="2"/>
        <v>64.2</v>
      </c>
      <c r="L13" s="72" t="str">
        <f t="shared" si="3"/>
        <v>B</v>
      </c>
      <c r="M13" s="72" t="str">
        <f t="shared" si="4"/>
        <v>PASS</v>
      </c>
      <c r="N13" s="68">
        <f t="shared" si="5"/>
        <v>12</v>
      </c>
    </row>
    <row r="14" spans="1:14" x14ac:dyDescent="0.3">
      <c r="A14" s="63">
        <v>13</v>
      </c>
      <c r="B14" s="64" t="s">
        <v>66</v>
      </c>
      <c r="C14" s="63" t="s">
        <v>67</v>
      </c>
      <c r="D14" s="63">
        <v>86</v>
      </c>
      <c r="E14" s="63">
        <v>60</v>
      </c>
      <c r="F14" s="63">
        <v>42</v>
      </c>
      <c r="G14" s="63">
        <v>62</v>
      </c>
      <c r="H14" s="63">
        <v>91</v>
      </c>
      <c r="I14" s="65">
        <f t="shared" si="0"/>
        <v>341</v>
      </c>
      <c r="J14" s="66">
        <f t="shared" si="1"/>
        <v>68.2</v>
      </c>
      <c r="K14" s="66">
        <f t="shared" si="2"/>
        <v>68.2</v>
      </c>
      <c r="L14" s="67" t="str">
        <f t="shared" si="3"/>
        <v>B</v>
      </c>
      <c r="M14" s="67" t="str">
        <f t="shared" si="4"/>
        <v>PASS</v>
      </c>
      <c r="N14" s="63">
        <f t="shared" si="5"/>
        <v>8</v>
      </c>
    </row>
    <row r="15" spans="1:14" x14ac:dyDescent="0.3">
      <c r="A15" s="68">
        <v>14</v>
      </c>
      <c r="B15" s="69" t="s">
        <v>68</v>
      </c>
      <c r="C15" s="68" t="s">
        <v>69</v>
      </c>
      <c r="D15" s="68">
        <v>67</v>
      </c>
      <c r="E15" s="68">
        <v>86</v>
      </c>
      <c r="F15" s="68">
        <v>51</v>
      </c>
      <c r="G15" s="68">
        <v>80</v>
      </c>
      <c r="H15" s="68">
        <v>95</v>
      </c>
      <c r="I15" s="70">
        <f t="shared" si="0"/>
        <v>379</v>
      </c>
      <c r="J15" s="71">
        <f t="shared" si="1"/>
        <v>75.8</v>
      </c>
      <c r="K15" s="71">
        <f t="shared" si="2"/>
        <v>75.8</v>
      </c>
      <c r="L15" s="72" t="str">
        <f t="shared" si="3"/>
        <v>B+</v>
      </c>
      <c r="M15" s="72" t="str">
        <f t="shared" si="4"/>
        <v>PASS</v>
      </c>
      <c r="N15" s="68">
        <f t="shared" si="5"/>
        <v>2</v>
      </c>
    </row>
    <row r="16" spans="1:14" x14ac:dyDescent="0.3">
      <c r="A16" s="63">
        <v>15</v>
      </c>
      <c r="B16" s="64" t="s">
        <v>70</v>
      </c>
      <c r="C16" s="63" t="s">
        <v>71</v>
      </c>
      <c r="D16" s="63">
        <v>42</v>
      </c>
      <c r="E16" s="63">
        <v>51</v>
      </c>
      <c r="F16" s="63">
        <v>54</v>
      </c>
      <c r="G16" s="63">
        <v>87</v>
      </c>
      <c r="H16" s="63">
        <v>50</v>
      </c>
      <c r="I16" s="65">
        <f t="shared" si="0"/>
        <v>284</v>
      </c>
      <c r="J16" s="66">
        <f t="shared" si="1"/>
        <v>56.8</v>
      </c>
      <c r="K16" s="66">
        <f t="shared" si="2"/>
        <v>56.8</v>
      </c>
      <c r="L16" s="67" t="str">
        <f t="shared" si="3"/>
        <v>C</v>
      </c>
      <c r="M16" s="67" t="str">
        <f t="shared" si="4"/>
        <v>PASS</v>
      </c>
      <c r="N16" s="63">
        <f t="shared" si="5"/>
        <v>17</v>
      </c>
    </row>
    <row r="17" spans="1:14" x14ac:dyDescent="0.3">
      <c r="A17" s="68">
        <v>16</v>
      </c>
      <c r="B17" s="69" t="s">
        <v>72</v>
      </c>
      <c r="C17" s="68" t="s">
        <v>73</v>
      </c>
      <c r="D17" s="68">
        <v>47</v>
      </c>
      <c r="E17" s="68">
        <v>50</v>
      </c>
      <c r="F17" s="68">
        <v>53</v>
      </c>
      <c r="G17" s="68">
        <v>72</v>
      </c>
      <c r="H17" s="68">
        <v>57</v>
      </c>
      <c r="I17" s="70">
        <f t="shared" si="0"/>
        <v>279</v>
      </c>
      <c r="J17" s="71">
        <f t="shared" si="1"/>
        <v>55.8</v>
      </c>
      <c r="K17" s="71">
        <f t="shared" si="2"/>
        <v>55.800000000000004</v>
      </c>
      <c r="L17" s="72" t="str">
        <f t="shared" si="3"/>
        <v>C</v>
      </c>
      <c r="M17" s="72" t="str">
        <f t="shared" si="4"/>
        <v>PASS</v>
      </c>
      <c r="N17" s="68">
        <f t="shared" si="5"/>
        <v>18</v>
      </c>
    </row>
    <row r="18" spans="1:14" x14ac:dyDescent="0.3">
      <c r="A18" s="63">
        <v>17</v>
      </c>
      <c r="B18" s="64" t="s">
        <v>74</v>
      </c>
      <c r="C18" s="63" t="s">
        <v>75</v>
      </c>
      <c r="D18" s="63">
        <v>57</v>
      </c>
      <c r="E18" s="63">
        <v>87</v>
      </c>
      <c r="F18" s="63">
        <v>53</v>
      </c>
      <c r="G18" s="63">
        <v>61</v>
      </c>
      <c r="H18" s="63">
        <v>75</v>
      </c>
      <c r="I18" s="65">
        <f t="shared" si="0"/>
        <v>333</v>
      </c>
      <c r="J18" s="66">
        <f t="shared" si="1"/>
        <v>66.599999999999994</v>
      </c>
      <c r="K18" s="66">
        <f t="shared" si="2"/>
        <v>66.600000000000009</v>
      </c>
      <c r="L18" s="67" t="str">
        <f t="shared" si="3"/>
        <v>B</v>
      </c>
      <c r="M18" s="67" t="str">
        <f t="shared" si="4"/>
        <v>PASS</v>
      </c>
      <c r="N18" s="63">
        <f t="shared" si="5"/>
        <v>9</v>
      </c>
    </row>
    <row r="19" spans="1:14" x14ac:dyDescent="0.3">
      <c r="A19" s="68">
        <v>18</v>
      </c>
      <c r="B19" s="69" t="s">
        <v>76</v>
      </c>
      <c r="C19" s="68" t="s">
        <v>77</v>
      </c>
      <c r="D19" s="68">
        <v>98</v>
      </c>
      <c r="E19" s="68">
        <v>64</v>
      </c>
      <c r="F19" s="68">
        <v>67</v>
      </c>
      <c r="G19" s="68">
        <v>50</v>
      </c>
      <c r="H19" s="68">
        <v>81</v>
      </c>
      <c r="I19" s="70">
        <f t="shared" si="0"/>
        <v>360</v>
      </c>
      <c r="J19" s="71">
        <f t="shared" si="1"/>
        <v>72</v>
      </c>
      <c r="K19" s="71">
        <f t="shared" si="2"/>
        <v>72</v>
      </c>
      <c r="L19" s="72" t="str">
        <f t="shared" si="3"/>
        <v>B+</v>
      </c>
      <c r="M19" s="72" t="str">
        <f t="shared" si="4"/>
        <v>PASS</v>
      </c>
      <c r="N19" s="68">
        <f t="shared" si="5"/>
        <v>5</v>
      </c>
    </row>
    <row r="20" spans="1:14" x14ac:dyDescent="0.3">
      <c r="A20" s="63">
        <v>19</v>
      </c>
      <c r="B20" s="64" t="s">
        <v>78</v>
      </c>
      <c r="C20" s="63" t="s">
        <v>79</v>
      </c>
      <c r="D20" s="63">
        <v>58</v>
      </c>
      <c r="E20" s="63">
        <v>44</v>
      </c>
      <c r="F20" s="63">
        <v>71</v>
      </c>
      <c r="G20" s="63">
        <v>36</v>
      </c>
      <c r="H20" s="63">
        <v>41</v>
      </c>
      <c r="I20" s="65">
        <f t="shared" si="0"/>
        <v>250</v>
      </c>
      <c r="J20" s="66">
        <f t="shared" si="1"/>
        <v>50</v>
      </c>
      <c r="K20" s="66">
        <f t="shared" si="2"/>
        <v>50</v>
      </c>
      <c r="L20" s="67" t="str">
        <f t="shared" si="3"/>
        <v>C</v>
      </c>
      <c r="M20" s="67" t="str">
        <f t="shared" si="4"/>
        <v>PASS</v>
      </c>
      <c r="N20" s="63">
        <f t="shared" si="5"/>
        <v>20</v>
      </c>
    </row>
    <row r="21" spans="1:14" x14ac:dyDescent="0.3">
      <c r="A21" s="68">
        <v>20</v>
      </c>
      <c r="B21" s="69" t="s">
        <v>80</v>
      </c>
      <c r="C21" s="68" t="s">
        <v>81</v>
      </c>
      <c r="D21" s="68">
        <v>78</v>
      </c>
      <c r="E21" s="68">
        <v>62</v>
      </c>
      <c r="F21" s="68">
        <v>83</v>
      </c>
      <c r="G21" s="68">
        <v>86</v>
      </c>
      <c r="H21" s="68">
        <v>78</v>
      </c>
      <c r="I21" s="70">
        <f t="shared" si="0"/>
        <v>387</v>
      </c>
      <c r="J21" s="71">
        <f t="shared" si="1"/>
        <v>77.400000000000006</v>
      </c>
      <c r="K21" s="71">
        <f t="shared" si="2"/>
        <v>77.400000000000006</v>
      </c>
      <c r="L21" s="72" t="str">
        <f t="shared" si="3"/>
        <v>B+</v>
      </c>
      <c r="M21" s="72" t="str">
        <f t="shared" si="4"/>
        <v>PASS</v>
      </c>
      <c r="N21" s="68">
        <f t="shared" si="5"/>
        <v>1</v>
      </c>
    </row>
  </sheetData>
  <autoFilter ref="A1:N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5100"/>
  </sheetPr>
  <dimension ref="A1:L20"/>
  <sheetViews>
    <sheetView workbookViewId="0">
      <selection sqref="A1:L1"/>
    </sheetView>
  </sheetViews>
  <sheetFormatPr defaultRowHeight="14.4" x14ac:dyDescent="0.3"/>
  <cols>
    <col min="1" max="1" width="18" customWidth="1"/>
    <col min="2" max="2" width="14" customWidth="1"/>
    <col min="3" max="4" width="10" customWidth="1"/>
    <col min="5" max="5" width="12" customWidth="1"/>
    <col min="6" max="6" width="16" customWidth="1"/>
    <col min="7" max="7" width="2" customWidth="1"/>
    <col min="8" max="8" width="8" customWidth="1"/>
    <col min="9" max="11" width="10" customWidth="1"/>
    <col min="12" max="12" width="22" customWidth="1"/>
  </cols>
  <sheetData>
    <row r="1" spans="1:12" ht="31.95" customHeight="1" x14ac:dyDescent="0.3">
      <c r="A1" s="121" t="s">
        <v>82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</row>
    <row r="3" spans="1:12" ht="22.05" customHeight="1" x14ac:dyDescent="0.3">
      <c r="A3" s="104" t="s">
        <v>83</v>
      </c>
      <c r="B3" s="103"/>
      <c r="C3" s="103"/>
      <c r="D3" s="103"/>
      <c r="E3" s="103"/>
      <c r="F3" s="103"/>
      <c r="H3" s="104" t="s">
        <v>84</v>
      </c>
      <c r="I3" s="103"/>
      <c r="J3" s="103"/>
      <c r="K3" s="103"/>
      <c r="L3" s="103"/>
    </row>
    <row r="4" spans="1:12" ht="19.95" customHeight="1" x14ac:dyDescent="0.3">
      <c r="A4" s="1" t="s">
        <v>19</v>
      </c>
      <c r="B4" s="1" t="s">
        <v>15</v>
      </c>
      <c r="C4" s="1" t="s">
        <v>20</v>
      </c>
      <c r="D4" s="1" t="s">
        <v>21</v>
      </c>
      <c r="E4" s="1" t="s">
        <v>85</v>
      </c>
      <c r="F4" s="1" t="s">
        <v>37</v>
      </c>
      <c r="H4" s="1" t="s">
        <v>16</v>
      </c>
      <c r="I4" s="1" t="s">
        <v>86</v>
      </c>
      <c r="J4" s="1" t="s">
        <v>87</v>
      </c>
      <c r="K4" s="1" t="s">
        <v>88</v>
      </c>
      <c r="L4" s="1" t="s">
        <v>89</v>
      </c>
    </row>
    <row r="5" spans="1:12" x14ac:dyDescent="0.3">
      <c r="A5" s="8" t="s">
        <v>25</v>
      </c>
      <c r="B5" s="9">
        <f>AVERAGE('Student Data'!D2:D21)</f>
        <v>67.849999999999994</v>
      </c>
      <c r="C5" s="73">
        <f>MAX('Student Data'!D2:D21)</f>
        <v>98</v>
      </c>
      <c r="D5" s="73">
        <f>MIN('Student Data'!D2:D21)</f>
        <v>39</v>
      </c>
      <c r="E5" s="73">
        <f>COUNTIF('Student Data'!D2:D21,"&gt;="&amp;35)</f>
        <v>20</v>
      </c>
      <c r="F5" s="12">
        <f t="shared" ref="F5:F10" si="0">IFERROR(E5/20*100,0)</f>
        <v>100</v>
      </c>
      <c r="H5" s="74" t="s">
        <v>90</v>
      </c>
      <c r="I5" s="75" t="s">
        <v>91</v>
      </c>
      <c r="J5" s="76">
        <f>COUNTIF('Student Data'!K2:K21,"&gt;=90")</f>
        <v>0</v>
      </c>
      <c r="K5" s="77">
        <f t="shared" ref="K5:K11" si="1">IFERROR(J5/20*100,0)</f>
        <v>0</v>
      </c>
      <c r="L5" s="78" t="str">
        <f t="shared" ref="L5:L11" si="2">REPT("█",ROUND(J5*2,0))</f>
        <v/>
      </c>
    </row>
    <row r="6" spans="1:12" x14ac:dyDescent="0.3">
      <c r="A6" s="20" t="s">
        <v>27</v>
      </c>
      <c r="B6" s="21">
        <f>AVERAGE('Student Data'!E2:E21)</f>
        <v>66.150000000000006</v>
      </c>
      <c r="C6" s="79">
        <f>MAX('Student Data'!E2:E21)</f>
        <v>97</v>
      </c>
      <c r="D6" s="79">
        <f>MIN('Student Data'!E2:E21)</f>
        <v>35</v>
      </c>
      <c r="E6" s="79">
        <f>COUNTIF('Student Data'!E2:E21,"&gt;="&amp;35)</f>
        <v>20</v>
      </c>
      <c r="F6" s="24">
        <f t="shared" si="0"/>
        <v>100</v>
      </c>
      <c r="H6" s="80" t="s">
        <v>92</v>
      </c>
      <c r="I6" s="63" t="s">
        <v>93</v>
      </c>
      <c r="J6" s="65">
        <f>COUNTIFS('Student Data'!K2:K21,"&gt;=80",'Student Data'!K2:K21,"&lt;90")</f>
        <v>0</v>
      </c>
      <c r="K6" s="81">
        <f t="shared" si="1"/>
        <v>0</v>
      </c>
      <c r="L6" s="82" t="str">
        <f t="shared" si="2"/>
        <v/>
      </c>
    </row>
    <row r="7" spans="1:12" x14ac:dyDescent="0.3">
      <c r="A7" s="32" t="s">
        <v>29</v>
      </c>
      <c r="B7" s="33">
        <f>AVERAGE('Student Data'!F2:F21)</f>
        <v>60.45</v>
      </c>
      <c r="C7" s="83">
        <f>MAX('Student Data'!F2:F21)</f>
        <v>91</v>
      </c>
      <c r="D7" s="83">
        <f>MIN('Student Data'!F2:F21)</f>
        <v>37</v>
      </c>
      <c r="E7" s="83">
        <f>COUNTIF('Student Data'!F2:F21,"&gt;="&amp;35)</f>
        <v>20</v>
      </c>
      <c r="F7" s="36">
        <f t="shared" si="0"/>
        <v>100</v>
      </c>
      <c r="H7" s="84" t="s">
        <v>94</v>
      </c>
      <c r="I7" s="75" t="s">
        <v>95</v>
      </c>
      <c r="J7" s="76">
        <f>COUNTIFS('Student Data'!K2:K21,"&gt;=70",'Student Data'!K2:K21,"&lt;80")</f>
        <v>7</v>
      </c>
      <c r="K7" s="77">
        <f t="shared" si="1"/>
        <v>35</v>
      </c>
      <c r="L7" s="85" t="str">
        <f t="shared" si="2"/>
        <v>██████████████</v>
      </c>
    </row>
    <row r="8" spans="1:12" x14ac:dyDescent="0.3">
      <c r="A8" s="44" t="s">
        <v>31</v>
      </c>
      <c r="B8" s="45">
        <f>AVERAGE('Student Data'!G2:G21)</f>
        <v>63.8</v>
      </c>
      <c r="C8" s="86">
        <f>MAX('Student Data'!G2:G21)</f>
        <v>88</v>
      </c>
      <c r="D8" s="86">
        <f>MIN('Student Data'!G2:G21)</f>
        <v>36</v>
      </c>
      <c r="E8" s="86">
        <f>COUNTIF('Student Data'!G2:G21,"&gt;="&amp;35)</f>
        <v>20</v>
      </c>
      <c r="F8" s="48">
        <f t="shared" si="0"/>
        <v>100</v>
      </c>
      <c r="H8" s="87" t="s">
        <v>96</v>
      </c>
      <c r="I8" s="63" t="s">
        <v>97</v>
      </c>
      <c r="J8" s="65">
        <f>COUNTIFS('Student Data'!K2:K21,"&gt;=60",'Student Data'!K2:K21,"&lt;70")</f>
        <v>9</v>
      </c>
      <c r="K8" s="81">
        <f t="shared" si="1"/>
        <v>45</v>
      </c>
      <c r="L8" s="88" t="str">
        <f t="shared" si="2"/>
        <v>██████████████████</v>
      </c>
    </row>
    <row r="9" spans="1:12" x14ac:dyDescent="0.3">
      <c r="A9" s="56" t="s">
        <v>33</v>
      </c>
      <c r="B9" s="57">
        <f>AVERAGE('Student Data'!H2:H21)</f>
        <v>70.2</v>
      </c>
      <c r="C9" s="89">
        <f>MAX('Student Data'!H2:H21)</f>
        <v>95</v>
      </c>
      <c r="D9" s="89">
        <f>MIN('Student Data'!H2:H21)</f>
        <v>35</v>
      </c>
      <c r="E9" s="89">
        <f>COUNTIF('Student Data'!H2:H21,"&gt;="&amp;35)</f>
        <v>20</v>
      </c>
      <c r="F9" s="60">
        <f t="shared" si="0"/>
        <v>100</v>
      </c>
      <c r="H9" s="90" t="s">
        <v>98</v>
      </c>
      <c r="I9" s="75" t="s">
        <v>99</v>
      </c>
      <c r="J9" s="76">
        <f>COUNTIFS('Student Data'!K2:K21,"&gt;=50",'Student Data'!K2:K21,"&lt;60")</f>
        <v>4</v>
      </c>
      <c r="K9" s="77">
        <f t="shared" si="1"/>
        <v>20</v>
      </c>
      <c r="L9" s="91" t="str">
        <f t="shared" si="2"/>
        <v>████████</v>
      </c>
    </row>
    <row r="10" spans="1:12" x14ac:dyDescent="0.3">
      <c r="A10" s="92" t="s">
        <v>100</v>
      </c>
      <c r="B10" s="93">
        <f>AVERAGE('Student Data'!J2:J21)</f>
        <v>65.690000000000012</v>
      </c>
      <c r="C10" s="94">
        <f>MAX('Student Data'!I2:I21)</f>
        <v>387</v>
      </c>
      <c r="D10" s="94">
        <f>MIN('Student Data'!I2:I21)</f>
        <v>250</v>
      </c>
      <c r="E10" s="94">
        <f>COUNTIF('Student Data'!M2:M21,"PASS")</f>
        <v>20</v>
      </c>
      <c r="F10" s="95">
        <f t="shared" si="0"/>
        <v>100</v>
      </c>
      <c r="H10" s="96" t="s">
        <v>101</v>
      </c>
      <c r="I10" s="63" t="s">
        <v>102</v>
      </c>
      <c r="J10" s="65">
        <f>COUNTIFS('Student Data'!K2:K21,"&gt;=35",'Student Data'!K2:K21,"&lt;50")</f>
        <v>0</v>
      </c>
      <c r="K10" s="81">
        <f t="shared" si="1"/>
        <v>0</v>
      </c>
      <c r="L10" s="97" t="str">
        <f t="shared" si="2"/>
        <v/>
      </c>
    </row>
    <row r="11" spans="1:12" x14ac:dyDescent="0.3">
      <c r="H11" s="98" t="s">
        <v>103</v>
      </c>
      <c r="I11" s="75" t="s">
        <v>104</v>
      </c>
      <c r="J11" s="76">
        <f>COUNTIF('Student Data'!K2:K21,"&lt;35")</f>
        <v>0</v>
      </c>
      <c r="K11" s="77">
        <f t="shared" si="1"/>
        <v>0</v>
      </c>
      <c r="L11" s="99" t="str">
        <f t="shared" si="2"/>
        <v/>
      </c>
    </row>
    <row r="12" spans="1:12" x14ac:dyDescent="0.3">
      <c r="A12" s="104" t="s">
        <v>105</v>
      </c>
      <c r="B12" s="103"/>
      <c r="C12" s="103"/>
      <c r="D12" s="103"/>
      <c r="E12" s="103"/>
      <c r="F12" s="103"/>
      <c r="H12" s="100" t="s">
        <v>106</v>
      </c>
      <c r="I12" s="100"/>
      <c r="J12" s="94">
        <f>SUM(J5:J11)</f>
        <v>20</v>
      </c>
      <c r="K12" s="95">
        <f>SUM(K5:K11)</f>
        <v>100</v>
      </c>
      <c r="L12" s="100"/>
    </row>
    <row r="13" spans="1:12" x14ac:dyDescent="0.3">
      <c r="A13" s="39" t="s">
        <v>107</v>
      </c>
      <c r="B13" s="122" t="str">
        <f>IFERROR(INDEX('Student Data'!B2:B21,MATCH(MAX('Student Data'!I2:I21),'Student Data'!I2:I21,0)),"")</f>
        <v>Lavanya C</v>
      </c>
      <c r="C13" s="103"/>
      <c r="D13" s="103"/>
      <c r="E13" s="103"/>
      <c r="F13" s="103"/>
    </row>
    <row r="14" spans="1:12" x14ac:dyDescent="0.3">
      <c r="A14" s="101" t="s">
        <v>108</v>
      </c>
      <c r="B14" s="119" t="str">
        <f>IFERROR(INDEX('Student Data'!B2:B21,MATCH(MIN('Student Data'!I2:I21),'Student Data'!I2:I21,0)),"")</f>
        <v>Deepak A</v>
      </c>
      <c r="C14" s="103"/>
      <c r="D14" s="103"/>
      <c r="E14" s="103"/>
      <c r="F14" s="103"/>
    </row>
    <row r="15" spans="1:12" x14ac:dyDescent="0.3">
      <c r="A15" s="39" t="s">
        <v>109</v>
      </c>
      <c r="B15" s="120">
        <f>AVERAGE('Student Data'!J2:J21)</f>
        <v>65.690000000000012</v>
      </c>
      <c r="C15" s="103"/>
      <c r="D15" s="103"/>
      <c r="E15" s="103"/>
      <c r="F15" s="103"/>
    </row>
    <row r="16" spans="1:12" x14ac:dyDescent="0.3">
      <c r="A16" s="101" t="s">
        <v>85</v>
      </c>
      <c r="B16" s="119">
        <f>COUNTIF('Student Data'!M2:M21,"PASS")</f>
        <v>20</v>
      </c>
      <c r="C16" s="103"/>
      <c r="D16" s="103"/>
      <c r="E16" s="103"/>
      <c r="F16" s="103"/>
    </row>
    <row r="17" spans="1:6" x14ac:dyDescent="0.3">
      <c r="A17" s="39" t="s">
        <v>110</v>
      </c>
      <c r="B17" s="122">
        <f>COUNTIF('Student Data'!M2:M21,"FAIL")</f>
        <v>0</v>
      </c>
      <c r="C17" s="103"/>
      <c r="D17" s="103"/>
      <c r="E17" s="103"/>
      <c r="F17" s="103"/>
    </row>
    <row r="18" spans="1:6" x14ac:dyDescent="0.3">
      <c r="A18" s="101" t="s">
        <v>37</v>
      </c>
      <c r="B18" s="123">
        <f>IFERROR(COUNTIF('Student Data'!M2:M21,"PASS")/20*100,0)</f>
        <v>100</v>
      </c>
      <c r="C18" s="103"/>
      <c r="D18" s="103"/>
      <c r="E18" s="103"/>
      <c r="F18" s="103"/>
    </row>
    <row r="19" spans="1:6" x14ac:dyDescent="0.3">
      <c r="A19" s="39" t="s">
        <v>111</v>
      </c>
      <c r="B19" s="120">
        <f>AVERAGE('Student Data'!F2:F21)</f>
        <v>60.45</v>
      </c>
      <c r="C19" s="103"/>
      <c r="D19" s="103"/>
      <c r="E19" s="103"/>
      <c r="F19" s="103"/>
    </row>
    <row r="20" spans="1:6" x14ac:dyDescent="0.3">
      <c r="A20" s="101" t="s">
        <v>112</v>
      </c>
      <c r="B20" s="119" t="str">
        <f>INDEX({"Tamil","English","Maths","Science","Social Science"},MATCH(MAX(B5:B9),B5:B9,0))</f>
        <v>Social Science</v>
      </c>
      <c r="C20" s="103"/>
      <c r="D20" s="103"/>
      <c r="E20" s="103"/>
      <c r="F20" s="103"/>
    </row>
  </sheetData>
  <mergeCells count="12">
    <mergeCell ref="H3:L3"/>
    <mergeCell ref="B16:F16"/>
    <mergeCell ref="B20:F20"/>
    <mergeCell ref="B15:F15"/>
    <mergeCell ref="A1:L1"/>
    <mergeCell ref="B19:F19"/>
    <mergeCell ref="A12:F12"/>
    <mergeCell ref="B14:F14"/>
    <mergeCell ref="A3:F3"/>
    <mergeCell ref="B17:F17"/>
    <mergeCell ref="B18:F18"/>
    <mergeCell ref="B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1B9A"/>
  </sheetPr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Student Data</vt:lpstr>
      <vt:lpstr>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Bavathahini Jeevakan</cp:lastModifiedBy>
  <dcterms:created xsi:type="dcterms:W3CDTF">2026-03-29T18:20:04Z</dcterms:created>
  <dcterms:modified xsi:type="dcterms:W3CDTF">2026-03-29T18:51:20Z</dcterms:modified>
</cp:coreProperties>
</file>